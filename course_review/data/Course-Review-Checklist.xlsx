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Key" sheetId="2" r:id="rId5"/>
    <sheet state="visible" name="Lesson Plan" sheetId="3" r:id="rId6"/>
    <sheet state="visible" name="Facilitators Guide" sheetId="4" r:id="rId7"/>
    <sheet state="visible" name="Pop Quiz" sheetId="5" r:id="rId8"/>
    <sheet state="visible" name="Chapter Exam" sheetId="6" r:id="rId9"/>
    <sheet state="visible" name="Worksheet" sheetId="7" r:id="rId10"/>
    <sheet state="visible" name="Data Bank" sheetId="8" r:id="rId11"/>
    <sheet state="visible" name="Subject-Level" sheetId="9" r:id="rId12"/>
  </sheets>
  <definedNames/>
  <calcPr/>
  <extLst>
    <ext uri="GoogleSheetsCustomDataVersion2">
      <go:sheetsCustomData xmlns:go="http://customooxmlschemas.google.com/" r:id="rId13" roundtripDataChecksum="2H1t38XFenYM+Zjcsrn90qBAUTVUmItKb5CPZjcP4L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ID#AAACEUF8Y3M
Unknown Author    (2026-09-29 04:38:14)
Nothing in Concept Building goes beyond what's traceable to a stated SLO or the book - no scope creep</t>
      </text>
    </comment>
    <comment authorId="0" ref="E4">
      <text>
        <t xml:space="preserve">======
ID#AAACEUF8Y3A
Unknown Author    (2026-09-29 04:38:14)
All five mandatory sections present, in order: Introduction, SLOs, Warm-up, Concept Building, Key Takeaways</t>
      </text>
    </comment>
    <comment authorId="0" ref="F4">
      <text>
        <t xml:space="preserve">======
ID#AAACEUGcb7U
Unknown Author    (2026-09-29 04:38:14)
Headings use decimal numbering (1, 1.1, 1.1.1) correctly - no skipped levels, nothing mis-ordered</t>
      </text>
    </comment>
    <comment authorId="0" ref="G4">
      <text>
        <t xml:space="preserve">======
ID#AAACEUF8b4A
Unknown Author    (2026-09-29 04:38:14)
SLOs are written as bullets, not a numbered list</t>
      </text>
    </comment>
    <comment authorId="0" ref="H4">
      <text>
        <t xml:space="preserve">======
ID#AAACEUGcb7Q
Unknown Author    (2026-09-29 04:38:14)
The Warm-up is concise, and tests prior knowledge and/or previews what's coming</t>
      </text>
    </comment>
    <comment authorId="0" ref="I4">
      <text>
        <t xml:space="preserve">======
ID#AAACEUGcb7Y
Unknown Author    (2026-09-29 04:38:14)
Story/scenario runs through every Concept Building sub-topic and is resolved in Key Takeaways</t>
      </text>
    </comment>
    <comment authorId="0" ref="J4">
      <text>
        <t xml:space="preserve">======
ID#AAACEUF8b4E
Unknown Author    (2026-09-29 04:38:14)
Story/scenario content stays faithful to the book</t>
      </text>
    </comment>
    <comment authorId="0" ref="K4">
      <text>
        <t xml:space="preserve">======
ID#AAACEUGcb7c
Unknown Author    (2026-09-29 04:38:14)
Any concept genuinely hard to convey in static text is flagged for a Lottie file, infographic, table, or image</t>
      </text>
    </comment>
    <comment authorId="0" ref="L4">
      <text>
        <t xml:space="preserve">======
ID#AAACEUF8b4I
Unknown Author    (2026-09-29 04:38:14)
Typography, page setup, and file naming follow the Writing and Editing Guidelines</t>
      </text>
    </comment>
    <comment authorId="0" ref="C4">
      <text>
        <t xml:space="preserve">======
ID#AAACEUF8Y28
Unknown Author    (2026-09-29 04:38:14)
Every stated SLO is fully covered somewhere in Concept Building - no SLO gaps</t>
      </text>
    </comment>
  </commentList>
  <extLst>
    <ext uri="GoogleSheetsCustomDataVersion2">
      <go:sheetsCustomData xmlns:go="http://customooxmlschemas.google.com/" r:id="rId1" roundtripDataSignature="AMtx7mhAqxQt7co6JwWn3vbDeMij/cwbj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ID#AAACEUF8b4k
Unknown Author    (2026-09-29 04:38:14)
Every slide splits cleanly into On-Slide Content and Facilitator Notes - no lesson content copy-pasted</t>
      </text>
    </comment>
    <comment authorId="0" ref="E4">
      <text>
        <t xml:space="preserve">======
ID#AAACEUF8Y3U
Unknown Author    (2026-09-29 04:38:14)
The Warm-up slide includes a debrief step, not just the activity</t>
      </text>
    </comment>
    <comment authorId="0" ref="F4">
      <text>
        <t xml:space="preserve">======
ID#AAACEUF8b4U
Unknown Author    (2026-09-29 04:38:14)
Every Concept Building slide carries all five Facilitator Notes items</t>
      </text>
    </comment>
    <comment authorId="0" ref="G4">
      <text>
        <t xml:space="preserve">======
ID#AAACEUF8Y3E
Unknown Author    (2026-09-29 04:38:14)
Any Summary Video, Simulation, or Game is cued at the exact right slide and time</t>
      </text>
    </comment>
    <comment authorId="0" ref="H4">
      <text>
        <t xml:space="preserve">======
ID#AAACEUF8Y3Q
Unknown Author    (2026-09-29 04:38:14)
Key Takeaways ties back to the SLOs; the Close includes a check-in question</t>
      </text>
    </comment>
    <comment authorId="0" ref="I4">
      <text>
        <t xml:space="preserve">======
ID#AAACEUGcb7w
Unknown Author    (2026-09-29 04:38:14)
Slide structure maps correctly onto the Lesson Plan's sections</t>
      </text>
    </comment>
    <comment authorId="0" ref="J4">
      <text>
        <t xml:space="preserve">======
ID#AAACEUGcb7I
Unknown Author    (2026-09-29 04:38:14)
Formatting (fonts, 1.5 line spacing, no-colour rule) follows the Writing and Editing Guidelines</t>
      </text>
    </comment>
    <comment authorId="0" ref="C4">
      <text>
        <t xml:space="preserve">======
ID#AAACEUF8Y2w
Unknown Author    (2026-09-29 04:38:14)
SLOs are stated aloud, in plain language, at Session Overview</t>
      </text>
    </comment>
  </commentList>
  <extLst>
    <ext uri="GoogleSheetsCustomDataVersion2">
      <go:sheetsCustomData xmlns:go="http://customooxmlschemas.google.com/" r:id="rId1" roundtripDataSignature="AMtx7mgmGMAK9x6WNHyUyl0JWaQit8bzs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ID#AAACEUF8Y3I
Unknown Author    (2026-09-29 04:38:14)
Every question states its Lesson Plan Location precisely</t>
      </text>
    </comment>
    <comment authorId="0" ref="E4">
      <text>
        <t xml:space="preserve">======
ID#AAACEUGcb7g
Unknown Author    (2026-09-29 04:38:14)
Correct and incorrect feedback are both present and meet the standard</t>
      </text>
    </comment>
    <comment authorId="0" ref="F4">
      <text>
        <t xml:space="preserve">======
ID#AAACEUF8b4s
Unknown Author    (2026-09-29 04:38:14)
The correct answer is highlighted yellow in the source file</t>
      </text>
    </comment>
    <comment authorId="0" ref="G4">
      <text>
        <t xml:space="preserve">======
ID#AAACEUF8Y24
Unknown Author    (2026-09-29 04:38:14)
No SLO is left completely untested across the lesson's questions</t>
      </text>
    </comment>
    <comment authorId="0" ref="C4">
      <text>
        <t xml:space="preserve">======
ID#AAACEUF8b4o
Unknown Author    (2026-09-29 04:38:14)
2-3 questions per lesson, MCQ only</t>
      </text>
    </comment>
  </commentList>
  <extLst>
    <ext uri="GoogleSheetsCustomDataVersion2">
      <go:sheetsCustomData xmlns:go="http://customooxmlschemas.google.com/" r:id="rId1" roundtripDataSignature="AMtx7mhwU/ezX8D4D4D2SnPc+y703QNEv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ID#AAACEUF8b4M
Unknown Author    (2026-09-29 04:38:14)
Fidelity questions match the book's end-of-lesson test's format and count, without copying wording or scenarios</t>
      </text>
    </comment>
    <comment authorId="0" ref="E4">
      <text>
        <t xml:space="preserve">======
ID#AAACEUF8b4w
Unknown Author    (2026-09-29 04:38:14)
Higher-order additions extend past the book's own test, while staying inside the lesson's SLOs</t>
      </text>
    </comment>
    <comment authorId="0" ref="F4">
      <text>
        <t xml:space="preserve">======
ID#AAACEUGcb7o
Unknown Author    (2026-09-29 04:38:14)
Every question is SLO-tagged</t>
      </text>
    </comment>
    <comment authorId="0" ref="G4">
      <text>
        <t xml:space="preserve">======
ID#AAACEUF8Y20
Unknown Author    (2026-09-29 04:38:14)
Answer key is present if the chapter exam includes one</t>
      </text>
    </comment>
    <comment authorId="0" ref="C4">
      <text>
        <t xml:space="preserve">======
ID#AAACEUF8b4g
Unknown Author    (2026-09-29 04:38:14)
Question count matches the agreed default (6-8), split roughly 70% fidelity-style / 30% higher-order</t>
      </text>
    </comment>
  </commentList>
  <extLst>
    <ext uri="GoogleSheetsCustomDataVersion2">
      <go:sheetsCustomData xmlns:go="http://customooxmlschemas.google.com/" r:id="rId1" roundtripDataSignature="AMtx7mi7B5UjvV94af5O71JmlzAe29/+u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ID#AAACEUF8b38
Unknown Author    (2026-09-29 04:38:14)
Format mix draws from MCQ, True/False, Fill-in-the-blank, Open-ended, Drag-and-drop, and Matching</t>
      </text>
    </comment>
    <comment authorId="0" ref="E4">
      <text>
        <t xml:space="preserve">======
ID#AAACEUGcb7M
Unknown Author    (2026-09-29 04:38:14)
Every question is tagged with the SLO it targets</t>
      </text>
    </comment>
    <comment authorId="0" ref="F4">
      <text>
        <t xml:space="preserve">======
ID#AAACEUF8b4Y
Unknown Author    (2026-09-29 04:38:14)
Questions spread across every lesson in the chapter - none skipped, none over-represented</t>
      </text>
    </comment>
    <comment authorId="0" ref="G4">
      <text>
        <t xml:space="preserve">======
ID#AAACEUGcb70
Unknown Author    (2026-09-29 04:38:14)
Every SLO across the chapter's lessons has at least one Worksheet question</t>
      </text>
    </comment>
    <comment authorId="0" ref="H4">
      <text>
        <t xml:space="preserve">======
ID#AAACEUF8b4Q
Unknown Author    (2026-09-29 04:38:14)
Answer key is present, complete, and placed at the very end of the document</t>
      </text>
    </comment>
    <comment authorId="0" ref="C4">
      <text>
        <t xml:space="preserve">======
ID#AAACEUF8Y3Y
Unknown Author    (2026-09-29 04:38:14)
8-10 questions, split roughly 40% lower-order / 60% higher-order</t>
      </text>
    </comment>
  </commentList>
  <extLst>
    <ext uri="GoogleSheetsCustomDataVersion2">
      <go:sheetsCustomData xmlns:go="http://customooxmlschemas.google.com/" r:id="rId1" roundtripDataSignature="AMtx7mhhpVbtJa6OzSjJyVxbxTTh1R25u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ID#AAACEUF8b30
Unknown Author    (2026-09-29 04:38:14)
Every item is tagged with Subject, Chapter, Lesson, and SLO</t>
      </text>
    </comment>
    <comment authorId="0" ref="E4">
      <text>
        <t xml:space="preserve">======
ID#AAACEUF8b34
Unknown Author    (2026-09-29 04:38:14)
Correct and incorrect feedback are present on every item</t>
      </text>
    </comment>
    <comment authorId="0" ref="F4">
      <text>
        <t xml:space="preserve">======
ID#AAACEUGcb7k
Unknown Author    (2026-09-29 04:38:14)
The correct answer is highlighted yellow</t>
      </text>
    </comment>
    <comment authorId="0" ref="G4">
      <text>
        <t xml:space="preserve">======
ID#AAACEUF8b4c
Unknown Author    (2026-09-29 04:38:14)
Items are genuinely different questions from the Pop Quiz - not reworded duplicates</t>
      </text>
    </comment>
    <comment authorId="0" ref="C4">
      <text>
        <t xml:space="preserve">======
ID#AAACEUGcb7s
Unknown Author    (2026-09-29 04:38:14)
4-6 backup items per lesson, MCQ only, lower-order only</t>
      </text>
    </comment>
  </commentList>
  <extLst>
    <ext uri="GoogleSheetsCustomDataVersion2">
      <go:sheetsCustomData xmlns:go="http://customooxmlschemas.google.com/" r:id="rId1" roundtripDataSignature="AMtx7mjHlBgIIRDPSJfB1CM6CbxkNJO5mw=="/>
    </ext>
  </extLst>
</comments>
</file>

<file path=xl/sharedStrings.xml><?xml version="1.0" encoding="utf-8"?>
<sst xmlns="http://schemas.openxmlformats.org/spreadsheetml/2006/main" count="511" uniqueCount="217">
  <si>
    <t>Code Key</t>
  </si>
  <si>
    <t>Lesson Plan</t>
  </si>
  <si>
    <t>Course Review Checklist — Compact Edition</t>
  </si>
  <si>
    <t>Facilitator's Guide</t>
  </si>
  <si>
    <t>Full wording for every code used across the matrix sheets.</t>
  </si>
  <si>
    <t>One row per lesson (or chapter) instead of one full copy of the checklist per lesson.</t>
  </si>
  <si>
    <t>Per lesson — one row per lesson in the subject.</t>
  </si>
  <si>
    <t>Three scopes</t>
  </si>
  <si>
    <t>Code</t>
  </si>
  <si>
    <t>#</t>
  </si>
  <si>
    <t>Scope</t>
  </si>
  <si>
    <t>Covers</t>
  </si>
  <si>
    <t>When to fill it in</t>
  </si>
  <si>
    <t>Per lesson</t>
  </si>
  <si>
    <t>Output Type</t>
  </si>
  <si>
    <t>Lesson</t>
  </si>
  <si>
    <t>FG1</t>
  </si>
  <si>
    <t>Checklist Item</t>
  </si>
  <si>
    <t>FG2</t>
  </si>
  <si>
    <t>Lesson Plan, Facilitator's Guide, Pop Quiz, Chapter Exam, Data Bank</t>
  </si>
  <si>
    <t>FG3</t>
  </si>
  <si>
    <t>LP1</t>
  </si>
  <si>
    <t>FG4</t>
  </si>
  <si>
    <t>FG5</t>
  </si>
  <si>
    <t>FG6</t>
  </si>
  <si>
    <t>FG7</t>
  </si>
  <si>
    <t>Every stated SLO is fully covered somewhere in Concept Building - no SLO gaps</t>
  </si>
  <si>
    <t>LP2</t>
  </si>
  <si>
    <t>FG8</t>
  </si>
  <si>
    <t>Nothing in Concept Building goes beyond what's traceable to a stated SLO or the book - no scope creep</t>
  </si>
  <si>
    <t>Fails</t>
  </si>
  <si>
    <t>LP3</t>
  </si>
  <si>
    <t>Notes</t>
  </si>
  <si>
    <t>Per chapter</t>
  </si>
  <si>
    <t>Worksheet</t>
  </si>
  <si>
    <t>All five mandatory sections present, in order: Introduction, SLOs, Warm-up, Concept Building, Key Takeaways</t>
  </si>
  <si>
    <t>LP4</t>
  </si>
  <si>
    <t>LP5</t>
  </si>
  <si>
    <t>Headings use decimal numbering (1, 1.1, 1.1.1) correctly - no skipped levels, nothing mis-ordered</t>
  </si>
  <si>
    <t>Ex.</t>
  </si>
  <si>
    <t>LP6</t>
  </si>
  <si>
    <t>Per subject (once)</t>
  </si>
  <si>
    <t>Writing &amp; Editing Guidelines, SLOs Not Tested, Data Bank organisation</t>
  </si>
  <si>
    <t>LP7</t>
  </si>
  <si>
    <t>SLOs are written as bullets, not a numbered list</t>
  </si>
  <si>
    <t>LP8</t>
  </si>
  <si>
    <t>LP9</t>
  </si>
  <si>
    <t>LP10</t>
  </si>
  <si>
    <t>The Warm-up is concise, and tests prior knowledge and/or previews what's coming</t>
  </si>
  <si>
    <t>Story/scenario runs through every Concept Building sub-topic and is resolved in Key Takeaways</t>
  </si>
  <si>
    <t>How to use each matrix sheet</t>
  </si>
  <si>
    <t>Story/scenario content stays faithful to the book</t>
  </si>
  <si>
    <t>Lesson 3 - States of Matter</t>
  </si>
  <si>
    <t>Any concept genuinely hard to convey in static text is flagged for a Lottie file, infographic, table, or image</t>
  </si>
  <si>
    <t>Hover over any code (LP1, FG3, etc.) to see the full checklist wording — or open the Key sheet for the full list at once. Pick Pass / Fail / N/A from the dropdown in each cell. The Fails column counts them automatically. Use Notes for anything that failed, referencing the code (e.g. "LP9: needs a diagram").</t>
  </si>
  <si>
    <t>Typography, page setup, and file naming follow the Writing and Editing Guidelines</t>
  </si>
  <si>
    <t>SLOs are stated aloud, in plain language, at Session Overview</t>
  </si>
  <si>
    <t>Every slide splits cleanly into On-Slide Content and Facilitator Notes - no lesson content copy-pasted</t>
  </si>
  <si>
    <t>The Warm-up slide includes a debrief step, not just the activity</t>
  </si>
  <si>
    <t>Pass</t>
  </si>
  <si>
    <t>Every Concept Building slide carries all five Facilitator Notes items</t>
  </si>
  <si>
    <t>Any Summary Video, Simulation, or Game is cued at the exact right slide and time</t>
  </si>
  <si>
    <t>Key Takeaways ties back to the SLOs; the Close includes a check-in question</t>
  </si>
  <si>
    <t>Fail</t>
  </si>
  <si>
    <t>Slide structure maps correctly onto the Lesson Plan's sections</t>
  </si>
  <si>
    <t>Formatting (fonts, 1.5 line spacing, no-colour rule) follows the Writing and Editing Guidelines</t>
  </si>
  <si>
    <t>PQ1</t>
  </si>
  <si>
    <t>Pop Quiz</t>
  </si>
  <si>
    <t>2-3 questions per lesson, MCQ only</t>
  </si>
  <si>
    <t>PQ2</t>
  </si>
  <si>
    <t>Every question states its Lesson Plan Location precisely</t>
  </si>
  <si>
    <t>PQ3</t>
  </si>
  <si>
    <t>Correct and incorrect feedback are both present and meet the standard</t>
  </si>
  <si>
    <t>PQ4</t>
  </si>
  <si>
    <t>The correct answer is highlighted yellow in the source file</t>
  </si>
  <si>
    <t>PQ5</t>
  </si>
  <si>
    <t>No SLO is left completely untested across the lesson's questions</t>
  </si>
  <si>
    <t>CE1</t>
  </si>
  <si>
    <t>Chapter Exam</t>
  </si>
  <si>
    <t>Question count matches the agreed default (6-8), split roughly 70% fidelity-style / 30% higher-order</t>
  </si>
  <si>
    <t>CE2</t>
  </si>
  <si>
    <t>Fidelity questions match the book's end-of-lesson test's format and count, without copying wording or scenarios</t>
  </si>
  <si>
    <t>CE3</t>
  </si>
  <si>
    <t>Higher-order additions extend past the book's own test, while staying inside the lesson's SLOs</t>
  </si>
  <si>
    <t>CE4</t>
  </si>
  <si>
    <t>Every question is SLO-tagged</t>
  </si>
  <si>
    <t>CE5</t>
  </si>
  <si>
    <t>EXAMPLE ROW - overwrite or delete before use. LP9: consider a Lottie animation for particle spacing across the three states.</t>
  </si>
  <si>
    <t>Answer key is present if the chapter exam includes one</t>
  </si>
  <si>
    <t>DB1</t>
  </si>
  <si>
    <t>Data Bank</t>
  </si>
  <si>
    <t>EXAMPLE ROW - overwrite or delete before use. FG5: Summary Video cue is on slide 6 instead of slide 5 - fix the cue point.</t>
  </si>
  <si>
    <t>4-6 backup items per lesson, MCQ only, lower-order only</t>
  </si>
  <si>
    <t>DB2</t>
  </si>
  <si>
    <t>Every item is tagged with Subject, Chapter, Lesson, and SLO</t>
  </si>
  <si>
    <t>DB3</t>
  </si>
  <si>
    <t>Correct and incorrect feedback are present on every item</t>
  </si>
  <si>
    <t>DB4</t>
  </si>
  <si>
    <t>The correct answer is highlighted yellow</t>
  </si>
  <si>
    <t>DB5</t>
  </si>
  <si>
    <t>Items are genuinely different questions from the Pop Quiz - not reworded duplicates</t>
  </si>
  <si>
    <t>WS1</t>
  </si>
  <si>
    <t>8-10 questions, split roughly 40% lower-order / 60% higher-order</t>
  </si>
  <si>
    <t>WS2</t>
  </si>
  <si>
    <t>Format mix draws from MCQ, True/False, Fill-in-the-blank, Open-ended, Drag-and-drop, and Matching</t>
  </si>
  <si>
    <t>WS3</t>
  </si>
  <si>
    <t>Every question is tagged with the SLO it targets</t>
  </si>
  <si>
    <t>WS4</t>
  </si>
  <si>
    <t>Questions spread across every lesson in the chapter - none skipped, none over-represented</t>
  </si>
  <si>
    <t>WS5</t>
  </si>
  <si>
    <t>Every SLO across the chapter's lessons has at least one Worksheet question</t>
  </si>
  <si>
    <t>WS6</t>
  </si>
  <si>
    <t>Answer key is present, complete, and placed at the very end of the document</t>
  </si>
  <si>
    <t>ST1</t>
  </si>
  <si>
    <t>SLOs Not Tested</t>
  </si>
  <si>
    <t>Per subject</t>
  </si>
  <si>
    <t>Coverage map built across the whole subject: every SLO checked against Chapter Exam / Worksheet / Data Bank tags</t>
  </si>
  <si>
    <t>ST2</t>
  </si>
  <si>
    <t>Any SLO with zero coverage across all four assessment types is flagged as a gap</t>
  </si>
  <si>
    <t>DBS1</t>
  </si>
  <si>
    <t>Items sit in the right subject tab of the grade's Data Bank document, sorted by chapter and lesson</t>
  </si>
  <si>
    <t>WE1</t>
  </si>
  <si>
    <t>Writing &amp; Editing Guidelines</t>
  </si>
  <si>
    <t>[Naming and versioning] File name follows [DocumentType]-[Identifier]-[Chapter/Topic]-v[Version]</t>
  </si>
  <si>
    <t>WE2</t>
  </si>
  <si>
    <t>[Naming and versioning] No "Draft" or "Final" text in the file name</t>
  </si>
  <si>
    <t>WE3</t>
  </si>
  <si>
    <t>[Naming and versioning] Version number matches its actual stage (v0.x draft, v1.0 approved, v1.x minor edit, v2.0 major rewrite)</t>
  </si>
  <si>
    <t>WE4</t>
  </si>
  <si>
    <t>[Page setup and spacing] Docs: A4, portrait, 1-inch margins, 1.15 line spacing</t>
  </si>
  <si>
    <t>WE5</t>
  </si>
  <si>
    <t>[Page setup and spacing] Slides (Facilitator's Guide): Widescreen 16:9, landscape, 1.5 line spacing</t>
  </si>
  <si>
    <t>WE6</t>
  </si>
  <si>
    <t>[Typography] English font is Poppins or Montserrat, not mixed within one document</t>
  </si>
  <si>
    <t>WE7</t>
  </si>
  <si>
    <t>[Typography] Urdu font is Jamil Noori Nastaliq throughout, headings and body alike</t>
  </si>
  <si>
    <t>WE8</t>
  </si>
  <si>
    <t>[Typography] Sizes match the table: Title 20 Bold; Section heading 16 Bold; Body 14; Table text 14 (header Bold); Figure caption 11 Italic; TOC Arial 16/14</t>
  </si>
  <si>
    <t>WE9</t>
  </si>
  <si>
    <t>[Bilingual rules] Urdu and English are separate documents that mirror the same structure</t>
  </si>
  <si>
    <t>WE10</t>
  </si>
  <si>
    <t>[Bilingual rules] Numerals are always Western (1, 2, 3), even in Urdu documents</t>
  </si>
  <si>
    <t>WE11</t>
  </si>
  <si>
    <t>[Bilingual rules] Text direction is correct (RTL for Urdu, LTR for English), no mid-sentence switching</t>
  </si>
  <si>
    <t>WE12</t>
  </si>
  <si>
    <t>[Heading numbering] Decimal numbering (1, 1.1, 1.1.1), max three levels, no skipped levels</t>
  </si>
  <si>
    <t>WE13</t>
  </si>
  <si>
    <t>[Heading numbering] Built-in Heading styles used, so the Table of Contents generates correctly</t>
  </si>
  <si>
    <t>WE14</t>
  </si>
  <si>
    <t>[Lesson Plan structure] All five mandatory sections present, in order</t>
  </si>
  <si>
    <t>WE15</t>
  </si>
  <si>
    <t>[Lesson Plan structure] Table of Contents present once the Lesson Plan runs past two pages</t>
  </si>
  <si>
    <t>WE16</t>
  </si>
  <si>
    <t>[Tables, figures, diagrams] Table caption above the table, numbered ("Table 1: ...")</t>
  </si>
  <si>
    <t>WE17</t>
  </si>
  <si>
    <t>[Tables, figures, diagrams] Figure caption below the figure, numbered ("Figure 1: ..."), 11pt italic</t>
  </si>
  <si>
    <t>WE18</t>
  </si>
  <si>
    <t>[Tables, figures, diagrams] Figures are monochrome - no colour</t>
  </si>
  <si>
    <t>WE19</t>
  </si>
  <si>
    <t>[Tables, figures, diagrams] Vector graphics or high-res images used; no screenshots with browser/app chrome</t>
  </si>
  <si>
    <t>WE20</t>
  </si>
  <si>
    <t>[Tables, figures, diagrams] Alt text present on every figure</t>
  </si>
  <si>
    <t>WE21</t>
  </si>
  <si>
    <t>[Citations (APA 7th)] In-text citations use (Author, Year)</t>
  </si>
  <si>
    <t>WE22</t>
  </si>
  <si>
    <t>[Citations (APA 7th)] Reference list alphabetical, hanging indent, only when the doc cites outside research</t>
  </si>
  <si>
    <t>WE23</t>
  </si>
  <si>
    <t>[Branding / no-colour] No colour anywhere - headings, tables, diagrams stay black/white/grey only</t>
  </si>
  <si>
    <t>WE24</t>
  </si>
  <si>
    <t>[Branding / no-colour] Logo placement correct, never stretched or recoloured</t>
  </si>
  <si>
    <t>WE25</t>
  </si>
  <si>
    <t>[Branding / no-colour] Footer carries page number, document name and version, and date</t>
  </si>
  <si>
    <t>EXAMPLE ROW - overwrite or delete before use.</t>
  </si>
  <si>
    <t>Per lesson — one row per lesson in the subject. Given after each lesson (6-8 Qs, 70/30 fidelity split).</t>
  </si>
  <si>
    <t>Per chapter — one row per chapter in the subject. Given once a chapter's lessons are all done (8-10 Qs, 40/60 split).</t>
  </si>
  <si>
    <t>Chapter</t>
  </si>
  <si>
    <t>Chapter 1</t>
  </si>
  <si>
    <t>Per lesson — one row per lesson's contribution to the grade's Data Bank.</t>
  </si>
  <si>
    <t>EXAMPLE ROW - overwrite or delete before use. WS4: Lesson 4 has 5 questions, Lesson 3 has 1 - rebalance the spread.</t>
  </si>
  <si>
    <t>Subject-Level Checklist</t>
  </si>
  <si>
    <t>Filled ONCE per subject-grade review cycle - not repeated per lesson.</t>
  </si>
  <si>
    <t>Section</t>
  </si>
  <si>
    <t>Status</t>
  </si>
  <si>
    <t>Naming and versioning</t>
  </si>
  <si>
    <t>File name follows [DocumentType]-[Identifier]-[Chapter/Topic]-v[Version]</t>
  </si>
  <si>
    <t>No "Draft" or "Final" text in the file name</t>
  </si>
  <si>
    <t>Version number matches its actual stage (v0.x draft, v1.0 approved, v1.x minor edit, v2.0 major rewrite)</t>
  </si>
  <si>
    <t>Page setup and spacing</t>
  </si>
  <si>
    <t>Docs: A4, portrait, 1-inch margins, 1.15 line spacing</t>
  </si>
  <si>
    <t>Slides (Facilitator's Guide): Widescreen 16:9, landscape, 1.5 line spacing</t>
  </si>
  <si>
    <t>Typography</t>
  </si>
  <si>
    <t>English font is Poppins or Montserrat, not mixed within one document</t>
  </si>
  <si>
    <t>Urdu font is Jamil Noori Nastaliq throughout, headings and body alike</t>
  </si>
  <si>
    <t>Sizes match the table: Title 20 Bold; Section heading 16 Bold; Body 14; Table text 14 (header Bold); Figure caption 11 Italic; TOC Arial 16/14</t>
  </si>
  <si>
    <t>Bilingual rules</t>
  </si>
  <si>
    <t>Urdu and English are separate documents that mirror the same structure</t>
  </si>
  <si>
    <t>Numerals are always Western (1, 2, 3), even in Urdu documents</t>
  </si>
  <si>
    <t>Text direction is correct (RTL for Urdu, LTR for English), no mid-sentence switching</t>
  </si>
  <si>
    <t>Heading numbering</t>
  </si>
  <si>
    <t>Decimal numbering (1, 1.1, 1.1.1), max three levels, no skipped levels</t>
  </si>
  <si>
    <t>Built-in Heading styles used, so the Table of Contents generates correctly</t>
  </si>
  <si>
    <t>Lesson Plan structure</t>
  </si>
  <si>
    <t>All five mandatory sections present, in order</t>
  </si>
  <si>
    <t>Table of Contents present once the Lesson Plan runs past two pages</t>
  </si>
  <si>
    <t>Tables, figures, diagrams</t>
  </si>
  <si>
    <t>Table caption above the table, numbered ("Table 1: ...")</t>
  </si>
  <si>
    <t>Figure caption below the figure, numbered ("Figure 1: ..."), 11pt italic</t>
  </si>
  <si>
    <t>Figures are monochrome - no colour</t>
  </si>
  <si>
    <t>Vector graphics or high-res images used; no screenshots with browser/app chrome</t>
  </si>
  <si>
    <t>Alt text present on every figure</t>
  </si>
  <si>
    <t>Citations (APA 7th)</t>
  </si>
  <si>
    <t>In-text citations use (Author, Year)</t>
  </si>
  <si>
    <t>Reference list alphabetical, hanging indent, only when the doc cites outside research</t>
  </si>
  <si>
    <t>Branding / no-colour</t>
  </si>
  <si>
    <t>No colour anywhere - headings, tables, diagrams stay black/white/grey only</t>
  </si>
  <si>
    <t>Logo placement correct, never stretched or recoloured</t>
  </si>
  <si>
    <t>Footer carries page number, document name and version, and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</si>
</sst>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Arial"/>
    </font>
    <font>
      <i/>
      <sz val="10.0"/>
      <color rgb="FF595959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shrinkToFit="0" vertical="top" wrapText="1"/>
    </xf>
    <xf borderId="1" fillId="3" fontId="5" numFmtId="0" xfId="0" applyAlignment="1" applyBorder="1" applyFill="1" applyFont="1">
      <alignment horizontal="center" shrinkToFit="0" vertical="center" wrapText="0"/>
    </xf>
    <xf borderId="1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8" width="16.0"/>
    <col customWidth="1" min="9" max="26" width="8.71"/>
  </cols>
  <sheetData>
    <row r="1">
      <c r="A1" s="1" t="s">
        <v>2</v>
      </c>
    </row>
    <row r="2">
      <c r="A2" s="2" t="s">
        <v>5</v>
      </c>
    </row>
    <row r="3">
      <c r="A3" s="3" t="s">
        <v>7</v>
      </c>
    </row>
    <row r="4">
      <c r="A4" s="3" t="s">
        <v>10</v>
      </c>
      <c r="B4" s="3" t="s">
        <v>11</v>
      </c>
      <c r="C4" s="3" t="s">
        <v>12</v>
      </c>
    </row>
    <row r="5" ht="23.25" customHeight="1">
      <c r="A5" s="5" t="s">
        <v>13</v>
      </c>
      <c r="B5" s="7" t="s">
        <v>19</v>
      </c>
      <c r="E5" s="9"/>
    </row>
    <row r="6" ht="15.0" customHeight="1">
      <c r="A6" s="5" t="s">
        <v>33</v>
      </c>
      <c r="B6" s="7" t="s">
        <v>34</v>
      </c>
      <c r="E6" s="9"/>
    </row>
    <row r="7" ht="23.25" customHeight="1">
      <c r="A7" s="5" t="s">
        <v>41</v>
      </c>
      <c r="B7" s="7" t="s">
        <v>42</v>
      </c>
      <c r="E7" s="9"/>
    </row>
    <row r="9">
      <c r="A9" s="3" t="s">
        <v>50</v>
      </c>
    </row>
    <row r="10" ht="45.75" customHeight="1">
      <c r="A10" s="7" t="s">
        <v>54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7">
    <mergeCell ref="B5:D5"/>
    <mergeCell ref="E5:H5"/>
    <mergeCell ref="B6:D6"/>
    <mergeCell ref="E6:H6"/>
    <mergeCell ref="B7:D7"/>
    <mergeCell ref="E7:H7"/>
    <mergeCell ref="A10:H1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14.0"/>
    <col customWidth="1" min="4" max="4" width="90.0"/>
    <col customWidth="1" min="5" max="26" width="8.71"/>
  </cols>
  <sheetData>
    <row r="1">
      <c r="A1" s="1" t="s">
        <v>0</v>
      </c>
    </row>
    <row r="2">
      <c r="A2" s="2" t="s">
        <v>4</v>
      </c>
    </row>
    <row r="4">
      <c r="A4" s="4" t="s">
        <v>8</v>
      </c>
      <c r="B4" s="4" t="s">
        <v>14</v>
      </c>
      <c r="C4" s="4" t="s">
        <v>10</v>
      </c>
      <c r="D4" s="4" t="s">
        <v>17</v>
      </c>
    </row>
    <row r="5">
      <c r="A5" s="6" t="s">
        <v>21</v>
      </c>
      <c r="B5" s="6" t="s">
        <v>1</v>
      </c>
      <c r="C5" s="6" t="s">
        <v>13</v>
      </c>
      <c r="D5" s="8" t="s">
        <v>26</v>
      </c>
    </row>
    <row r="6">
      <c r="A6" s="6" t="s">
        <v>27</v>
      </c>
      <c r="B6" s="6" t="s">
        <v>1</v>
      </c>
      <c r="C6" s="6" t="s">
        <v>13</v>
      </c>
      <c r="D6" s="8" t="s">
        <v>29</v>
      </c>
    </row>
    <row r="7">
      <c r="A7" s="6" t="s">
        <v>31</v>
      </c>
      <c r="B7" s="6" t="s">
        <v>1</v>
      </c>
      <c r="C7" s="6" t="s">
        <v>13</v>
      </c>
      <c r="D7" s="8" t="s">
        <v>35</v>
      </c>
    </row>
    <row r="8">
      <c r="A8" s="6" t="s">
        <v>36</v>
      </c>
      <c r="B8" s="6" t="s">
        <v>1</v>
      </c>
      <c r="C8" s="6" t="s">
        <v>13</v>
      </c>
      <c r="D8" s="8" t="s">
        <v>38</v>
      </c>
    </row>
    <row r="9">
      <c r="A9" s="6" t="s">
        <v>37</v>
      </c>
      <c r="B9" s="6" t="s">
        <v>1</v>
      </c>
      <c r="C9" s="6" t="s">
        <v>13</v>
      </c>
      <c r="D9" s="8" t="s">
        <v>44</v>
      </c>
    </row>
    <row r="10">
      <c r="A10" s="6" t="s">
        <v>40</v>
      </c>
      <c r="B10" s="6" t="s">
        <v>1</v>
      </c>
      <c r="C10" s="6" t="s">
        <v>13</v>
      </c>
      <c r="D10" s="8" t="s">
        <v>48</v>
      </c>
    </row>
    <row r="11">
      <c r="A11" s="6" t="s">
        <v>43</v>
      </c>
      <c r="B11" s="6" t="s">
        <v>1</v>
      </c>
      <c r="C11" s="6" t="s">
        <v>13</v>
      </c>
      <c r="D11" s="8" t="s">
        <v>49</v>
      </c>
    </row>
    <row r="12">
      <c r="A12" s="6" t="s">
        <v>45</v>
      </c>
      <c r="B12" s="6" t="s">
        <v>1</v>
      </c>
      <c r="C12" s="6" t="s">
        <v>13</v>
      </c>
      <c r="D12" s="8" t="s">
        <v>51</v>
      </c>
    </row>
    <row r="13">
      <c r="A13" s="6" t="s">
        <v>46</v>
      </c>
      <c r="B13" s="6" t="s">
        <v>1</v>
      </c>
      <c r="C13" s="6" t="s">
        <v>13</v>
      </c>
      <c r="D13" s="8" t="s">
        <v>53</v>
      </c>
    </row>
    <row r="14">
      <c r="A14" s="6" t="s">
        <v>47</v>
      </c>
      <c r="B14" s="6" t="s">
        <v>1</v>
      </c>
      <c r="C14" s="6" t="s">
        <v>13</v>
      </c>
      <c r="D14" s="8" t="s">
        <v>55</v>
      </c>
    </row>
    <row r="15">
      <c r="A15" s="6" t="s">
        <v>16</v>
      </c>
      <c r="B15" s="6" t="s">
        <v>3</v>
      </c>
      <c r="C15" s="6" t="s">
        <v>13</v>
      </c>
      <c r="D15" s="8" t="s">
        <v>56</v>
      </c>
    </row>
    <row r="16">
      <c r="A16" s="6" t="s">
        <v>18</v>
      </c>
      <c r="B16" s="6" t="s">
        <v>3</v>
      </c>
      <c r="C16" s="6" t="s">
        <v>13</v>
      </c>
      <c r="D16" s="8" t="s">
        <v>57</v>
      </c>
    </row>
    <row r="17">
      <c r="A17" s="6" t="s">
        <v>20</v>
      </c>
      <c r="B17" s="6" t="s">
        <v>3</v>
      </c>
      <c r="C17" s="6" t="s">
        <v>13</v>
      </c>
      <c r="D17" s="8" t="s">
        <v>58</v>
      </c>
    </row>
    <row r="18">
      <c r="A18" s="6" t="s">
        <v>22</v>
      </c>
      <c r="B18" s="6" t="s">
        <v>3</v>
      </c>
      <c r="C18" s="6" t="s">
        <v>13</v>
      </c>
      <c r="D18" s="8" t="s">
        <v>60</v>
      </c>
    </row>
    <row r="19">
      <c r="A19" s="6" t="s">
        <v>23</v>
      </c>
      <c r="B19" s="6" t="s">
        <v>3</v>
      </c>
      <c r="C19" s="6" t="s">
        <v>13</v>
      </c>
      <c r="D19" s="8" t="s">
        <v>61</v>
      </c>
    </row>
    <row r="20">
      <c r="A20" s="6" t="s">
        <v>24</v>
      </c>
      <c r="B20" s="6" t="s">
        <v>3</v>
      </c>
      <c r="C20" s="6" t="s">
        <v>13</v>
      </c>
      <c r="D20" s="8" t="s">
        <v>62</v>
      </c>
    </row>
    <row r="21" ht="15.75" customHeight="1">
      <c r="A21" s="6" t="s">
        <v>25</v>
      </c>
      <c r="B21" s="6" t="s">
        <v>3</v>
      </c>
      <c r="C21" s="6" t="s">
        <v>13</v>
      </c>
      <c r="D21" s="8" t="s">
        <v>64</v>
      </c>
    </row>
    <row r="22" ht="15.75" customHeight="1">
      <c r="A22" s="6" t="s">
        <v>28</v>
      </c>
      <c r="B22" s="6" t="s">
        <v>3</v>
      </c>
      <c r="C22" s="6" t="s">
        <v>13</v>
      </c>
      <c r="D22" s="8" t="s">
        <v>65</v>
      </c>
    </row>
    <row r="23" ht="15.75" customHeight="1">
      <c r="A23" s="6" t="s">
        <v>66</v>
      </c>
      <c r="B23" s="6" t="s">
        <v>67</v>
      </c>
      <c r="C23" s="6" t="s">
        <v>13</v>
      </c>
      <c r="D23" s="8" t="s">
        <v>68</v>
      </c>
    </row>
    <row r="24" ht="15.75" customHeight="1">
      <c r="A24" s="6" t="s">
        <v>69</v>
      </c>
      <c r="B24" s="6" t="s">
        <v>67</v>
      </c>
      <c r="C24" s="6" t="s">
        <v>13</v>
      </c>
      <c r="D24" s="8" t="s">
        <v>70</v>
      </c>
    </row>
    <row r="25" ht="15.75" customHeight="1">
      <c r="A25" s="6" t="s">
        <v>71</v>
      </c>
      <c r="B25" s="6" t="s">
        <v>67</v>
      </c>
      <c r="C25" s="6" t="s">
        <v>13</v>
      </c>
      <c r="D25" s="8" t="s">
        <v>72</v>
      </c>
    </row>
    <row r="26" ht="15.75" customHeight="1">
      <c r="A26" s="6" t="s">
        <v>73</v>
      </c>
      <c r="B26" s="6" t="s">
        <v>67</v>
      </c>
      <c r="C26" s="6" t="s">
        <v>13</v>
      </c>
      <c r="D26" s="8" t="s">
        <v>74</v>
      </c>
    </row>
    <row r="27" ht="15.75" customHeight="1">
      <c r="A27" s="6" t="s">
        <v>75</v>
      </c>
      <c r="B27" s="6" t="s">
        <v>67</v>
      </c>
      <c r="C27" s="6" t="s">
        <v>13</v>
      </c>
      <c r="D27" s="8" t="s">
        <v>76</v>
      </c>
    </row>
    <row r="28" ht="15.75" customHeight="1">
      <c r="A28" s="6" t="s">
        <v>77</v>
      </c>
      <c r="B28" s="6" t="s">
        <v>78</v>
      </c>
      <c r="C28" s="6" t="s">
        <v>13</v>
      </c>
      <c r="D28" s="8" t="s">
        <v>79</v>
      </c>
    </row>
    <row r="29" ht="15.75" customHeight="1">
      <c r="A29" s="6" t="s">
        <v>80</v>
      </c>
      <c r="B29" s="6" t="s">
        <v>78</v>
      </c>
      <c r="C29" s="6" t="s">
        <v>13</v>
      </c>
      <c r="D29" s="8" t="s">
        <v>81</v>
      </c>
    </row>
    <row r="30" ht="15.75" customHeight="1">
      <c r="A30" s="6" t="s">
        <v>82</v>
      </c>
      <c r="B30" s="6" t="s">
        <v>78</v>
      </c>
      <c r="C30" s="6" t="s">
        <v>13</v>
      </c>
      <c r="D30" s="8" t="s">
        <v>83</v>
      </c>
    </row>
    <row r="31" ht="15.75" customHeight="1">
      <c r="A31" s="6" t="s">
        <v>84</v>
      </c>
      <c r="B31" s="6" t="s">
        <v>78</v>
      </c>
      <c r="C31" s="6" t="s">
        <v>13</v>
      </c>
      <c r="D31" s="8" t="s">
        <v>85</v>
      </c>
    </row>
    <row r="32" ht="15.75" customHeight="1">
      <c r="A32" s="6" t="s">
        <v>86</v>
      </c>
      <c r="B32" s="6" t="s">
        <v>78</v>
      </c>
      <c r="C32" s="6" t="s">
        <v>13</v>
      </c>
      <c r="D32" s="8" t="s">
        <v>88</v>
      </c>
    </row>
    <row r="33" ht="15.75" customHeight="1">
      <c r="A33" s="6" t="s">
        <v>89</v>
      </c>
      <c r="B33" s="6" t="s">
        <v>90</v>
      </c>
      <c r="C33" s="6" t="s">
        <v>13</v>
      </c>
      <c r="D33" s="8" t="s">
        <v>92</v>
      </c>
    </row>
    <row r="34" ht="15.75" customHeight="1">
      <c r="A34" s="6" t="s">
        <v>93</v>
      </c>
      <c r="B34" s="6" t="s">
        <v>90</v>
      </c>
      <c r="C34" s="6" t="s">
        <v>13</v>
      </c>
      <c r="D34" s="8" t="s">
        <v>94</v>
      </c>
    </row>
    <row r="35" ht="15.75" customHeight="1">
      <c r="A35" s="6" t="s">
        <v>95</v>
      </c>
      <c r="B35" s="6" t="s">
        <v>90</v>
      </c>
      <c r="C35" s="6" t="s">
        <v>13</v>
      </c>
      <c r="D35" s="8" t="s">
        <v>96</v>
      </c>
    </row>
    <row r="36" ht="15.75" customHeight="1">
      <c r="A36" s="6" t="s">
        <v>97</v>
      </c>
      <c r="B36" s="6" t="s">
        <v>90</v>
      </c>
      <c r="C36" s="6" t="s">
        <v>13</v>
      </c>
      <c r="D36" s="8" t="s">
        <v>98</v>
      </c>
    </row>
    <row r="37" ht="15.75" customHeight="1">
      <c r="A37" s="6" t="s">
        <v>99</v>
      </c>
      <c r="B37" s="6" t="s">
        <v>90</v>
      </c>
      <c r="C37" s="6" t="s">
        <v>13</v>
      </c>
      <c r="D37" s="8" t="s">
        <v>100</v>
      </c>
    </row>
    <row r="38" ht="15.75" customHeight="1">
      <c r="A38" s="6" t="s">
        <v>101</v>
      </c>
      <c r="B38" s="6" t="s">
        <v>34</v>
      </c>
      <c r="C38" s="6" t="s">
        <v>33</v>
      </c>
      <c r="D38" s="8" t="s">
        <v>102</v>
      </c>
    </row>
    <row r="39" ht="15.75" customHeight="1">
      <c r="A39" s="6" t="s">
        <v>103</v>
      </c>
      <c r="B39" s="6" t="s">
        <v>34</v>
      </c>
      <c r="C39" s="6" t="s">
        <v>33</v>
      </c>
      <c r="D39" s="8" t="s">
        <v>104</v>
      </c>
    </row>
    <row r="40" ht="15.75" customHeight="1">
      <c r="A40" s="6" t="s">
        <v>105</v>
      </c>
      <c r="B40" s="6" t="s">
        <v>34</v>
      </c>
      <c r="C40" s="6" t="s">
        <v>33</v>
      </c>
      <c r="D40" s="8" t="s">
        <v>106</v>
      </c>
    </row>
    <row r="41" ht="15.75" customHeight="1">
      <c r="A41" s="6" t="s">
        <v>107</v>
      </c>
      <c r="B41" s="6" t="s">
        <v>34</v>
      </c>
      <c r="C41" s="6" t="s">
        <v>33</v>
      </c>
      <c r="D41" s="8" t="s">
        <v>108</v>
      </c>
    </row>
    <row r="42" ht="15.75" customHeight="1">
      <c r="A42" s="6" t="s">
        <v>109</v>
      </c>
      <c r="B42" s="6" t="s">
        <v>34</v>
      </c>
      <c r="C42" s="6" t="s">
        <v>33</v>
      </c>
      <c r="D42" s="8" t="s">
        <v>110</v>
      </c>
    </row>
    <row r="43" ht="15.75" customHeight="1">
      <c r="A43" s="6" t="s">
        <v>111</v>
      </c>
      <c r="B43" s="6" t="s">
        <v>34</v>
      </c>
      <c r="C43" s="6" t="s">
        <v>33</v>
      </c>
      <c r="D43" s="8" t="s">
        <v>112</v>
      </c>
    </row>
    <row r="44" ht="15.75" customHeight="1">
      <c r="A44" s="6" t="s">
        <v>113</v>
      </c>
      <c r="B44" s="6" t="s">
        <v>114</v>
      </c>
      <c r="C44" s="6" t="s">
        <v>115</v>
      </c>
      <c r="D44" s="8" t="s">
        <v>116</v>
      </c>
    </row>
    <row r="45" ht="15.75" customHeight="1">
      <c r="A45" s="6" t="s">
        <v>117</v>
      </c>
      <c r="B45" s="6" t="s">
        <v>114</v>
      </c>
      <c r="C45" s="6" t="s">
        <v>115</v>
      </c>
      <c r="D45" s="8" t="s">
        <v>118</v>
      </c>
    </row>
    <row r="46" ht="15.75" customHeight="1">
      <c r="A46" s="6" t="s">
        <v>119</v>
      </c>
      <c r="B46" s="6" t="s">
        <v>90</v>
      </c>
      <c r="C46" s="6" t="s">
        <v>115</v>
      </c>
      <c r="D46" s="8" t="s">
        <v>120</v>
      </c>
    </row>
    <row r="47" ht="15.75" customHeight="1">
      <c r="A47" s="6" t="s">
        <v>121</v>
      </c>
      <c r="B47" s="6" t="s">
        <v>122</v>
      </c>
      <c r="C47" s="6" t="s">
        <v>115</v>
      </c>
      <c r="D47" s="8" t="s">
        <v>123</v>
      </c>
    </row>
    <row r="48" ht="15.75" customHeight="1">
      <c r="A48" s="6" t="s">
        <v>124</v>
      </c>
      <c r="B48" s="6" t="s">
        <v>122</v>
      </c>
      <c r="C48" s="6" t="s">
        <v>115</v>
      </c>
      <c r="D48" s="8" t="s">
        <v>125</v>
      </c>
    </row>
    <row r="49" ht="15.75" customHeight="1">
      <c r="A49" s="6" t="s">
        <v>126</v>
      </c>
      <c r="B49" s="6" t="s">
        <v>122</v>
      </c>
      <c r="C49" s="6" t="s">
        <v>115</v>
      </c>
      <c r="D49" s="8" t="s">
        <v>127</v>
      </c>
    </row>
    <row r="50" ht="15.75" customHeight="1">
      <c r="A50" s="6" t="s">
        <v>128</v>
      </c>
      <c r="B50" s="6" t="s">
        <v>122</v>
      </c>
      <c r="C50" s="6" t="s">
        <v>115</v>
      </c>
      <c r="D50" s="8" t="s">
        <v>129</v>
      </c>
    </row>
    <row r="51" ht="15.75" customHeight="1">
      <c r="A51" s="6" t="s">
        <v>130</v>
      </c>
      <c r="B51" s="6" t="s">
        <v>122</v>
      </c>
      <c r="C51" s="6" t="s">
        <v>115</v>
      </c>
      <c r="D51" s="8" t="s">
        <v>131</v>
      </c>
    </row>
    <row r="52" ht="15.75" customHeight="1">
      <c r="A52" s="6" t="s">
        <v>132</v>
      </c>
      <c r="B52" s="6" t="s">
        <v>122</v>
      </c>
      <c r="C52" s="6" t="s">
        <v>115</v>
      </c>
      <c r="D52" s="8" t="s">
        <v>133</v>
      </c>
    </row>
    <row r="53" ht="15.75" customHeight="1">
      <c r="A53" s="6" t="s">
        <v>134</v>
      </c>
      <c r="B53" s="6" t="s">
        <v>122</v>
      </c>
      <c r="C53" s="6" t="s">
        <v>115</v>
      </c>
      <c r="D53" s="8" t="s">
        <v>135</v>
      </c>
    </row>
    <row r="54" ht="15.75" customHeight="1">
      <c r="A54" s="6" t="s">
        <v>136</v>
      </c>
      <c r="B54" s="6" t="s">
        <v>122</v>
      </c>
      <c r="C54" s="6" t="s">
        <v>115</v>
      </c>
      <c r="D54" s="8" t="s">
        <v>137</v>
      </c>
    </row>
    <row r="55" ht="15.75" customHeight="1">
      <c r="A55" s="6" t="s">
        <v>138</v>
      </c>
      <c r="B55" s="6" t="s">
        <v>122</v>
      </c>
      <c r="C55" s="6" t="s">
        <v>115</v>
      </c>
      <c r="D55" s="8" t="s">
        <v>139</v>
      </c>
    </row>
    <row r="56" ht="15.75" customHeight="1">
      <c r="A56" s="6" t="s">
        <v>140</v>
      </c>
      <c r="B56" s="6" t="s">
        <v>122</v>
      </c>
      <c r="C56" s="6" t="s">
        <v>115</v>
      </c>
      <c r="D56" s="8" t="s">
        <v>141</v>
      </c>
    </row>
    <row r="57" ht="15.75" customHeight="1">
      <c r="A57" s="6" t="s">
        <v>142</v>
      </c>
      <c r="B57" s="6" t="s">
        <v>122</v>
      </c>
      <c r="C57" s="6" t="s">
        <v>115</v>
      </c>
      <c r="D57" s="8" t="s">
        <v>143</v>
      </c>
    </row>
    <row r="58" ht="15.75" customHeight="1">
      <c r="A58" s="6" t="s">
        <v>144</v>
      </c>
      <c r="B58" s="6" t="s">
        <v>122</v>
      </c>
      <c r="C58" s="6" t="s">
        <v>115</v>
      </c>
      <c r="D58" s="8" t="s">
        <v>145</v>
      </c>
    </row>
    <row r="59" ht="15.75" customHeight="1">
      <c r="A59" s="6" t="s">
        <v>146</v>
      </c>
      <c r="B59" s="6" t="s">
        <v>122</v>
      </c>
      <c r="C59" s="6" t="s">
        <v>115</v>
      </c>
      <c r="D59" s="8" t="s">
        <v>147</v>
      </c>
    </row>
    <row r="60" ht="15.75" customHeight="1">
      <c r="A60" s="6" t="s">
        <v>148</v>
      </c>
      <c r="B60" s="6" t="s">
        <v>122</v>
      </c>
      <c r="C60" s="6" t="s">
        <v>115</v>
      </c>
      <c r="D60" s="8" t="s">
        <v>149</v>
      </c>
    </row>
    <row r="61" ht="15.75" customHeight="1">
      <c r="A61" s="6" t="s">
        <v>150</v>
      </c>
      <c r="B61" s="6" t="s">
        <v>122</v>
      </c>
      <c r="C61" s="6" t="s">
        <v>115</v>
      </c>
      <c r="D61" s="8" t="s">
        <v>151</v>
      </c>
    </row>
    <row r="62" ht="15.75" customHeight="1">
      <c r="A62" s="6" t="s">
        <v>152</v>
      </c>
      <c r="B62" s="6" t="s">
        <v>122</v>
      </c>
      <c r="C62" s="6" t="s">
        <v>115</v>
      </c>
      <c r="D62" s="8" t="s">
        <v>153</v>
      </c>
    </row>
    <row r="63" ht="15.75" customHeight="1">
      <c r="A63" s="6" t="s">
        <v>154</v>
      </c>
      <c r="B63" s="6" t="s">
        <v>122</v>
      </c>
      <c r="C63" s="6" t="s">
        <v>115</v>
      </c>
      <c r="D63" s="8" t="s">
        <v>155</v>
      </c>
    </row>
    <row r="64" ht="15.75" customHeight="1">
      <c r="A64" s="6" t="s">
        <v>156</v>
      </c>
      <c r="B64" s="6" t="s">
        <v>122</v>
      </c>
      <c r="C64" s="6" t="s">
        <v>115</v>
      </c>
      <c r="D64" s="8" t="s">
        <v>157</v>
      </c>
    </row>
    <row r="65" ht="15.75" customHeight="1">
      <c r="A65" s="6" t="s">
        <v>158</v>
      </c>
      <c r="B65" s="6" t="s">
        <v>122</v>
      </c>
      <c r="C65" s="6" t="s">
        <v>115</v>
      </c>
      <c r="D65" s="8" t="s">
        <v>159</v>
      </c>
    </row>
    <row r="66" ht="15.75" customHeight="1">
      <c r="A66" s="6" t="s">
        <v>160</v>
      </c>
      <c r="B66" s="6" t="s">
        <v>122</v>
      </c>
      <c r="C66" s="6" t="s">
        <v>115</v>
      </c>
      <c r="D66" s="8" t="s">
        <v>161</v>
      </c>
    </row>
    <row r="67" ht="15.75" customHeight="1">
      <c r="A67" s="6" t="s">
        <v>162</v>
      </c>
      <c r="B67" s="6" t="s">
        <v>122</v>
      </c>
      <c r="C67" s="6" t="s">
        <v>115</v>
      </c>
      <c r="D67" s="8" t="s">
        <v>163</v>
      </c>
    </row>
    <row r="68" ht="15.75" customHeight="1">
      <c r="A68" s="6" t="s">
        <v>164</v>
      </c>
      <c r="B68" s="6" t="s">
        <v>122</v>
      </c>
      <c r="C68" s="6" t="s">
        <v>115</v>
      </c>
      <c r="D68" s="8" t="s">
        <v>165</v>
      </c>
    </row>
    <row r="69" ht="15.75" customHeight="1">
      <c r="A69" s="6" t="s">
        <v>166</v>
      </c>
      <c r="B69" s="6" t="s">
        <v>122</v>
      </c>
      <c r="C69" s="6" t="s">
        <v>115</v>
      </c>
      <c r="D69" s="8" t="s">
        <v>167</v>
      </c>
    </row>
    <row r="70" ht="15.75" customHeight="1">
      <c r="A70" s="6" t="s">
        <v>168</v>
      </c>
      <c r="B70" s="6" t="s">
        <v>122</v>
      </c>
      <c r="C70" s="6" t="s">
        <v>115</v>
      </c>
      <c r="D70" s="8" t="s">
        <v>169</v>
      </c>
    </row>
    <row r="71" ht="15.75" customHeight="1">
      <c r="A71" s="6" t="s">
        <v>170</v>
      </c>
      <c r="B71" s="6" t="s">
        <v>122</v>
      </c>
      <c r="C71" s="6" t="s">
        <v>115</v>
      </c>
      <c r="D71" s="8" t="s">
        <v>171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13" width="7.0"/>
    <col customWidth="1" min="14" max="14" width="40.0"/>
    <col customWidth="1" min="15" max="26" width="8.71"/>
  </cols>
  <sheetData>
    <row r="1">
      <c r="A1" s="1" t="s">
        <v>1</v>
      </c>
    </row>
    <row r="2">
      <c r="A2" s="2" t="s">
        <v>6</v>
      </c>
    </row>
    <row r="4">
      <c r="A4" s="4" t="s">
        <v>9</v>
      </c>
      <c r="B4" s="4" t="s">
        <v>15</v>
      </c>
      <c r="C4" s="4" t="s">
        <v>21</v>
      </c>
      <c r="D4" s="4" t="s">
        <v>27</v>
      </c>
      <c r="E4" s="4" t="s">
        <v>31</v>
      </c>
      <c r="F4" s="4" t="s">
        <v>36</v>
      </c>
      <c r="G4" s="4" t="s">
        <v>37</v>
      </c>
      <c r="H4" s="4" t="s">
        <v>40</v>
      </c>
      <c r="I4" s="4" t="s">
        <v>43</v>
      </c>
      <c r="J4" s="4" t="s">
        <v>45</v>
      </c>
      <c r="K4" s="4" t="s">
        <v>46</v>
      </c>
      <c r="L4" s="4" t="s">
        <v>47</v>
      </c>
      <c r="M4" s="4" t="s">
        <v>30</v>
      </c>
      <c r="N4" s="4" t="s">
        <v>32</v>
      </c>
    </row>
    <row r="5">
      <c r="A5" s="10" t="s">
        <v>39</v>
      </c>
      <c r="B5" s="11" t="s">
        <v>52</v>
      </c>
      <c r="C5" s="12" t="s">
        <v>59</v>
      </c>
      <c r="D5" s="12" t="s">
        <v>59</v>
      </c>
      <c r="E5" s="12" t="s">
        <v>59</v>
      </c>
      <c r="F5" s="12" t="s">
        <v>59</v>
      </c>
      <c r="G5" s="12" t="s">
        <v>59</v>
      </c>
      <c r="H5" s="12" t="s">
        <v>59</v>
      </c>
      <c r="I5" s="12" t="s">
        <v>59</v>
      </c>
      <c r="J5" s="12" t="s">
        <v>59</v>
      </c>
      <c r="K5" s="12" t="s">
        <v>63</v>
      </c>
      <c r="L5" s="12" t="s">
        <v>59</v>
      </c>
      <c r="M5" s="10">
        <f t="shared" ref="M5:M25" si="1">COUNTIF(C5:L5,"Fail")</f>
        <v>1</v>
      </c>
      <c r="N5" s="11" t="s">
        <v>87</v>
      </c>
    </row>
    <row r="6">
      <c r="A6" s="13">
        <v>1.0</v>
      </c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3">
        <f t="shared" si="1"/>
        <v>0</v>
      </c>
      <c r="N6" s="15"/>
    </row>
    <row r="7">
      <c r="A7" s="13">
        <v>2.0</v>
      </c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3">
        <f t="shared" si="1"/>
        <v>0</v>
      </c>
      <c r="N7" s="15"/>
    </row>
    <row r="8">
      <c r="A8" s="13">
        <v>3.0</v>
      </c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3">
        <f t="shared" si="1"/>
        <v>0</v>
      </c>
      <c r="N8" s="15"/>
    </row>
    <row r="9">
      <c r="A9" s="13">
        <v>4.0</v>
      </c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3">
        <f t="shared" si="1"/>
        <v>0</v>
      </c>
      <c r="N9" s="15"/>
    </row>
    <row r="10">
      <c r="A10" s="13">
        <v>5.0</v>
      </c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3">
        <f t="shared" si="1"/>
        <v>0</v>
      </c>
      <c r="N10" s="15"/>
    </row>
    <row r="11">
      <c r="A11" s="13">
        <v>6.0</v>
      </c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3">
        <f t="shared" si="1"/>
        <v>0</v>
      </c>
      <c r="N11" s="15"/>
    </row>
    <row r="12">
      <c r="A12" s="13">
        <v>7.0</v>
      </c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3">
        <f t="shared" si="1"/>
        <v>0</v>
      </c>
      <c r="N12" s="15"/>
    </row>
    <row r="13">
      <c r="A13" s="13">
        <v>8.0</v>
      </c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3">
        <f t="shared" si="1"/>
        <v>0</v>
      </c>
      <c r="N13" s="15"/>
    </row>
    <row r="14">
      <c r="A14" s="13">
        <v>9.0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3">
        <f t="shared" si="1"/>
        <v>0</v>
      </c>
      <c r="N14" s="15"/>
    </row>
    <row r="15">
      <c r="A15" s="13">
        <v>10.0</v>
      </c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3">
        <f t="shared" si="1"/>
        <v>0</v>
      </c>
      <c r="N15" s="15"/>
    </row>
    <row r="16">
      <c r="A16" s="13">
        <v>11.0</v>
      </c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3">
        <f t="shared" si="1"/>
        <v>0</v>
      </c>
      <c r="N16" s="15"/>
    </row>
    <row r="17">
      <c r="A17" s="13">
        <v>12.0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3">
        <f t="shared" si="1"/>
        <v>0</v>
      </c>
      <c r="N17" s="15"/>
    </row>
    <row r="18">
      <c r="A18" s="13">
        <v>13.0</v>
      </c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3">
        <f t="shared" si="1"/>
        <v>0</v>
      </c>
      <c r="N18" s="15"/>
    </row>
    <row r="19">
      <c r="A19" s="13">
        <v>14.0</v>
      </c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3">
        <f t="shared" si="1"/>
        <v>0</v>
      </c>
      <c r="N19" s="15"/>
    </row>
    <row r="20">
      <c r="A20" s="13">
        <v>15.0</v>
      </c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3">
        <f t="shared" si="1"/>
        <v>0</v>
      </c>
      <c r="N20" s="15"/>
    </row>
    <row r="21" ht="15.75" customHeight="1">
      <c r="A21" s="13">
        <v>16.0</v>
      </c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3">
        <f t="shared" si="1"/>
        <v>0</v>
      </c>
      <c r="N21" s="15"/>
    </row>
    <row r="22" ht="15.75" customHeight="1">
      <c r="A22" s="13">
        <v>17.0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3">
        <f t="shared" si="1"/>
        <v>0</v>
      </c>
      <c r="N22" s="15"/>
    </row>
    <row r="23" ht="15.75" customHeight="1">
      <c r="A23" s="13">
        <v>18.0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3">
        <f t="shared" si="1"/>
        <v>0</v>
      </c>
      <c r="N23" s="15"/>
    </row>
    <row r="24" ht="15.75" customHeight="1">
      <c r="A24" s="13">
        <v>19.0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3">
        <f t="shared" si="1"/>
        <v>0</v>
      </c>
      <c r="N24" s="15"/>
    </row>
    <row r="25" ht="15.75" customHeight="1">
      <c r="A25" s="13">
        <v>20.0</v>
      </c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3">
        <f t="shared" si="1"/>
        <v>0</v>
      </c>
      <c r="N25" s="1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dataValidations>
    <dataValidation type="list" allowBlank="1" sqref="C5:L25">
      <formula1>"Pass,Fail,N/A"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11" width="7.0"/>
    <col customWidth="1" min="12" max="12" width="40.0"/>
    <col customWidth="1" min="13" max="26" width="8.71"/>
  </cols>
  <sheetData>
    <row r="1">
      <c r="A1" s="1" t="s">
        <v>3</v>
      </c>
    </row>
    <row r="2">
      <c r="A2" s="2" t="s">
        <v>6</v>
      </c>
    </row>
    <row r="4">
      <c r="A4" s="4" t="s">
        <v>9</v>
      </c>
      <c r="B4" s="4" t="s">
        <v>15</v>
      </c>
      <c r="C4" s="4" t="s">
        <v>16</v>
      </c>
      <c r="D4" s="4" t="s">
        <v>18</v>
      </c>
      <c r="E4" s="4" t="s">
        <v>20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28</v>
      </c>
      <c r="K4" s="4" t="s">
        <v>30</v>
      </c>
      <c r="L4" s="4" t="s">
        <v>32</v>
      </c>
    </row>
    <row r="5">
      <c r="A5" s="10" t="s">
        <v>39</v>
      </c>
      <c r="B5" s="11" t="s">
        <v>52</v>
      </c>
      <c r="C5" s="12" t="s">
        <v>59</v>
      </c>
      <c r="D5" s="12" t="s">
        <v>59</v>
      </c>
      <c r="E5" s="12" t="s">
        <v>59</v>
      </c>
      <c r="F5" s="12" t="s">
        <v>59</v>
      </c>
      <c r="G5" s="12" t="s">
        <v>63</v>
      </c>
      <c r="H5" s="12" t="s">
        <v>59</v>
      </c>
      <c r="I5" s="12" t="s">
        <v>59</v>
      </c>
      <c r="J5" s="12" t="s">
        <v>59</v>
      </c>
      <c r="K5" s="10">
        <f t="shared" ref="K5:K25" si="1">COUNTIF(C5:J5,"Fail")</f>
        <v>1</v>
      </c>
      <c r="L5" s="11" t="s">
        <v>91</v>
      </c>
    </row>
    <row r="6">
      <c r="A6" s="13">
        <v>1.0</v>
      </c>
      <c r="B6" s="13"/>
      <c r="C6" s="14"/>
      <c r="D6" s="14"/>
      <c r="E6" s="14"/>
      <c r="F6" s="14"/>
      <c r="G6" s="14"/>
      <c r="H6" s="14"/>
      <c r="I6" s="14"/>
      <c r="J6" s="14"/>
      <c r="K6" s="13">
        <f t="shared" si="1"/>
        <v>0</v>
      </c>
      <c r="L6" s="15"/>
    </row>
    <row r="7">
      <c r="A7" s="13">
        <v>2.0</v>
      </c>
      <c r="B7" s="13"/>
      <c r="C7" s="14"/>
      <c r="D7" s="14"/>
      <c r="E7" s="14"/>
      <c r="F7" s="14"/>
      <c r="G7" s="14"/>
      <c r="H7" s="14"/>
      <c r="I7" s="14"/>
      <c r="J7" s="14"/>
      <c r="K7" s="13">
        <f t="shared" si="1"/>
        <v>0</v>
      </c>
      <c r="L7" s="15"/>
    </row>
    <row r="8">
      <c r="A8" s="13">
        <v>3.0</v>
      </c>
      <c r="B8" s="13"/>
      <c r="C8" s="14"/>
      <c r="D8" s="14"/>
      <c r="E8" s="14"/>
      <c r="F8" s="14"/>
      <c r="G8" s="14"/>
      <c r="H8" s="14"/>
      <c r="I8" s="14"/>
      <c r="J8" s="14"/>
      <c r="K8" s="13">
        <f t="shared" si="1"/>
        <v>0</v>
      </c>
      <c r="L8" s="15"/>
    </row>
    <row r="9">
      <c r="A9" s="13">
        <v>4.0</v>
      </c>
      <c r="B9" s="13"/>
      <c r="C9" s="14"/>
      <c r="D9" s="14"/>
      <c r="E9" s="14"/>
      <c r="F9" s="14"/>
      <c r="G9" s="14"/>
      <c r="H9" s="14"/>
      <c r="I9" s="14"/>
      <c r="J9" s="14"/>
      <c r="K9" s="13">
        <f t="shared" si="1"/>
        <v>0</v>
      </c>
      <c r="L9" s="15"/>
    </row>
    <row r="10">
      <c r="A10" s="13">
        <v>5.0</v>
      </c>
      <c r="B10" s="13"/>
      <c r="C10" s="14"/>
      <c r="D10" s="14"/>
      <c r="E10" s="14"/>
      <c r="F10" s="14"/>
      <c r="G10" s="14"/>
      <c r="H10" s="14"/>
      <c r="I10" s="14"/>
      <c r="J10" s="14"/>
      <c r="K10" s="13">
        <f t="shared" si="1"/>
        <v>0</v>
      </c>
      <c r="L10" s="15"/>
    </row>
    <row r="11">
      <c r="A11" s="13">
        <v>6.0</v>
      </c>
      <c r="B11" s="13"/>
      <c r="C11" s="14"/>
      <c r="D11" s="14"/>
      <c r="E11" s="14"/>
      <c r="F11" s="14"/>
      <c r="G11" s="14"/>
      <c r="H11" s="14"/>
      <c r="I11" s="14"/>
      <c r="J11" s="14"/>
      <c r="K11" s="13">
        <f t="shared" si="1"/>
        <v>0</v>
      </c>
      <c r="L11" s="15"/>
    </row>
    <row r="12">
      <c r="A12" s="13">
        <v>7.0</v>
      </c>
      <c r="B12" s="13"/>
      <c r="C12" s="14"/>
      <c r="D12" s="14"/>
      <c r="E12" s="14"/>
      <c r="F12" s="14"/>
      <c r="G12" s="14"/>
      <c r="H12" s="14"/>
      <c r="I12" s="14"/>
      <c r="J12" s="14"/>
      <c r="K12" s="13">
        <f t="shared" si="1"/>
        <v>0</v>
      </c>
      <c r="L12" s="15"/>
    </row>
    <row r="13">
      <c r="A13" s="13">
        <v>8.0</v>
      </c>
      <c r="B13" s="13"/>
      <c r="C13" s="14"/>
      <c r="D13" s="14"/>
      <c r="E13" s="14"/>
      <c r="F13" s="14"/>
      <c r="G13" s="14"/>
      <c r="H13" s="14"/>
      <c r="I13" s="14"/>
      <c r="J13" s="14"/>
      <c r="K13" s="13">
        <f t="shared" si="1"/>
        <v>0</v>
      </c>
      <c r="L13" s="15"/>
    </row>
    <row r="14">
      <c r="A14" s="13">
        <v>9.0</v>
      </c>
      <c r="B14" s="13"/>
      <c r="C14" s="14"/>
      <c r="D14" s="14"/>
      <c r="E14" s="14"/>
      <c r="F14" s="14"/>
      <c r="G14" s="14"/>
      <c r="H14" s="14"/>
      <c r="I14" s="14"/>
      <c r="J14" s="14"/>
      <c r="K14" s="13">
        <f t="shared" si="1"/>
        <v>0</v>
      </c>
      <c r="L14" s="15"/>
    </row>
    <row r="15">
      <c r="A15" s="13">
        <v>10.0</v>
      </c>
      <c r="B15" s="13"/>
      <c r="C15" s="14"/>
      <c r="D15" s="14"/>
      <c r="E15" s="14"/>
      <c r="F15" s="14"/>
      <c r="G15" s="14"/>
      <c r="H15" s="14"/>
      <c r="I15" s="14"/>
      <c r="J15" s="14"/>
      <c r="K15" s="13">
        <f t="shared" si="1"/>
        <v>0</v>
      </c>
      <c r="L15" s="15"/>
    </row>
    <row r="16">
      <c r="A16" s="13">
        <v>11.0</v>
      </c>
      <c r="B16" s="13"/>
      <c r="C16" s="14"/>
      <c r="D16" s="14"/>
      <c r="E16" s="14"/>
      <c r="F16" s="14"/>
      <c r="G16" s="14"/>
      <c r="H16" s="14"/>
      <c r="I16" s="14"/>
      <c r="J16" s="14"/>
      <c r="K16" s="13">
        <f t="shared" si="1"/>
        <v>0</v>
      </c>
      <c r="L16" s="15"/>
    </row>
    <row r="17">
      <c r="A17" s="13">
        <v>12.0</v>
      </c>
      <c r="B17" s="13"/>
      <c r="C17" s="14"/>
      <c r="D17" s="14"/>
      <c r="E17" s="14"/>
      <c r="F17" s="14"/>
      <c r="G17" s="14"/>
      <c r="H17" s="14"/>
      <c r="I17" s="14"/>
      <c r="J17" s="14"/>
      <c r="K17" s="13">
        <f t="shared" si="1"/>
        <v>0</v>
      </c>
      <c r="L17" s="15"/>
    </row>
    <row r="18">
      <c r="A18" s="13">
        <v>13.0</v>
      </c>
      <c r="B18" s="13"/>
      <c r="C18" s="14"/>
      <c r="D18" s="14"/>
      <c r="E18" s="14"/>
      <c r="F18" s="14"/>
      <c r="G18" s="14"/>
      <c r="H18" s="14"/>
      <c r="I18" s="14"/>
      <c r="J18" s="14"/>
      <c r="K18" s="13">
        <f t="shared" si="1"/>
        <v>0</v>
      </c>
      <c r="L18" s="15"/>
    </row>
    <row r="19">
      <c r="A19" s="13">
        <v>14.0</v>
      </c>
      <c r="B19" s="13"/>
      <c r="C19" s="14"/>
      <c r="D19" s="14"/>
      <c r="E19" s="14"/>
      <c r="F19" s="14"/>
      <c r="G19" s="14"/>
      <c r="H19" s="14"/>
      <c r="I19" s="14"/>
      <c r="J19" s="14"/>
      <c r="K19" s="13">
        <f t="shared" si="1"/>
        <v>0</v>
      </c>
      <c r="L19" s="15"/>
    </row>
    <row r="20">
      <c r="A20" s="13">
        <v>15.0</v>
      </c>
      <c r="B20" s="13"/>
      <c r="C20" s="14"/>
      <c r="D20" s="14"/>
      <c r="E20" s="14"/>
      <c r="F20" s="14"/>
      <c r="G20" s="14"/>
      <c r="H20" s="14"/>
      <c r="I20" s="14"/>
      <c r="J20" s="14"/>
      <c r="K20" s="13">
        <f t="shared" si="1"/>
        <v>0</v>
      </c>
      <c r="L20" s="15"/>
    </row>
    <row r="21" ht="15.75" customHeight="1">
      <c r="A21" s="13">
        <v>16.0</v>
      </c>
      <c r="B21" s="13"/>
      <c r="C21" s="14"/>
      <c r="D21" s="14"/>
      <c r="E21" s="14"/>
      <c r="F21" s="14"/>
      <c r="G21" s="14"/>
      <c r="H21" s="14"/>
      <c r="I21" s="14"/>
      <c r="J21" s="14"/>
      <c r="K21" s="13">
        <f t="shared" si="1"/>
        <v>0</v>
      </c>
      <c r="L21" s="15"/>
    </row>
    <row r="22" ht="15.75" customHeight="1">
      <c r="A22" s="13">
        <v>17.0</v>
      </c>
      <c r="B22" s="13"/>
      <c r="C22" s="14"/>
      <c r="D22" s="14"/>
      <c r="E22" s="14"/>
      <c r="F22" s="14"/>
      <c r="G22" s="14"/>
      <c r="H22" s="14"/>
      <c r="I22" s="14"/>
      <c r="J22" s="14"/>
      <c r="K22" s="13">
        <f t="shared" si="1"/>
        <v>0</v>
      </c>
      <c r="L22" s="15"/>
    </row>
    <row r="23" ht="15.75" customHeight="1">
      <c r="A23" s="13">
        <v>18.0</v>
      </c>
      <c r="B23" s="13"/>
      <c r="C23" s="14"/>
      <c r="D23" s="14"/>
      <c r="E23" s="14"/>
      <c r="F23" s="14"/>
      <c r="G23" s="14"/>
      <c r="H23" s="14"/>
      <c r="I23" s="14"/>
      <c r="J23" s="14"/>
      <c r="K23" s="13">
        <f t="shared" si="1"/>
        <v>0</v>
      </c>
      <c r="L23" s="15"/>
    </row>
    <row r="24" ht="15.75" customHeight="1">
      <c r="A24" s="13">
        <v>19.0</v>
      </c>
      <c r="B24" s="13"/>
      <c r="C24" s="14"/>
      <c r="D24" s="14"/>
      <c r="E24" s="14"/>
      <c r="F24" s="14"/>
      <c r="G24" s="14"/>
      <c r="H24" s="14"/>
      <c r="I24" s="14"/>
      <c r="J24" s="14"/>
      <c r="K24" s="13">
        <f t="shared" si="1"/>
        <v>0</v>
      </c>
      <c r="L24" s="15"/>
    </row>
    <row r="25" ht="15.75" customHeight="1">
      <c r="A25" s="13">
        <v>20.0</v>
      </c>
      <c r="B25" s="13"/>
      <c r="C25" s="14"/>
      <c r="D25" s="14"/>
      <c r="E25" s="14"/>
      <c r="F25" s="14"/>
      <c r="G25" s="14"/>
      <c r="H25" s="14"/>
      <c r="I25" s="14"/>
      <c r="J25" s="14"/>
      <c r="K25" s="13">
        <f t="shared" si="1"/>
        <v>0</v>
      </c>
      <c r="L25" s="1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qref="C5:J25">
      <formula1>"Pass,Fail,N/A"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8" width="7.0"/>
    <col customWidth="1" min="9" max="9" width="40.0"/>
    <col customWidth="1" min="10" max="26" width="8.71"/>
  </cols>
  <sheetData>
    <row r="1">
      <c r="A1" s="1" t="s">
        <v>67</v>
      </c>
    </row>
    <row r="2">
      <c r="A2" s="2" t="s">
        <v>6</v>
      </c>
    </row>
    <row r="4">
      <c r="A4" s="4" t="s">
        <v>9</v>
      </c>
      <c r="B4" s="4" t="s">
        <v>15</v>
      </c>
      <c r="C4" s="4" t="s">
        <v>66</v>
      </c>
      <c r="D4" s="4" t="s">
        <v>69</v>
      </c>
      <c r="E4" s="4" t="s">
        <v>71</v>
      </c>
      <c r="F4" s="4" t="s">
        <v>73</v>
      </c>
      <c r="G4" s="4" t="s">
        <v>75</v>
      </c>
      <c r="H4" s="4" t="s">
        <v>30</v>
      </c>
      <c r="I4" s="4" t="s">
        <v>32</v>
      </c>
    </row>
    <row r="5">
      <c r="A5" s="10" t="s">
        <v>39</v>
      </c>
      <c r="B5" s="11" t="s">
        <v>52</v>
      </c>
      <c r="C5" s="12" t="s">
        <v>59</v>
      </c>
      <c r="D5" s="12" t="s">
        <v>59</v>
      </c>
      <c r="E5" s="12" t="s">
        <v>59</v>
      </c>
      <c r="F5" s="12" t="s">
        <v>59</v>
      </c>
      <c r="G5" s="12" t="s">
        <v>59</v>
      </c>
      <c r="H5" s="10">
        <f t="shared" ref="H5:H25" si="1">COUNTIF(C5:G5,"Fail")</f>
        <v>0</v>
      </c>
      <c r="I5" s="11" t="s">
        <v>172</v>
      </c>
    </row>
    <row r="6">
      <c r="A6" s="13">
        <v>1.0</v>
      </c>
      <c r="B6" s="13"/>
      <c r="C6" s="14"/>
      <c r="D6" s="14"/>
      <c r="E6" s="14"/>
      <c r="F6" s="14"/>
      <c r="G6" s="14"/>
      <c r="H6" s="13">
        <f t="shared" si="1"/>
        <v>0</v>
      </c>
      <c r="I6" s="15"/>
    </row>
    <row r="7">
      <c r="A7" s="13">
        <v>2.0</v>
      </c>
      <c r="B7" s="13"/>
      <c r="C7" s="14"/>
      <c r="D7" s="14"/>
      <c r="E7" s="14"/>
      <c r="F7" s="14"/>
      <c r="G7" s="14"/>
      <c r="H7" s="13">
        <f t="shared" si="1"/>
        <v>0</v>
      </c>
      <c r="I7" s="15"/>
    </row>
    <row r="8">
      <c r="A8" s="13">
        <v>3.0</v>
      </c>
      <c r="B8" s="13"/>
      <c r="C8" s="14"/>
      <c r="D8" s="14"/>
      <c r="E8" s="14"/>
      <c r="F8" s="14"/>
      <c r="G8" s="14"/>
      <c r="H8" s="13">
        <f t="shared" si="1"/>
        <v>0</v>
      </c>
      <c r="I8" s="15"/>
    </row>
    <row r="9">
      <c r="A9" s="13">
        <v>4.0</v>
      </c>
      <c r="B9" s="13"/>
      <c r="C9" s="14"/>
      <c r="D9" s="14"/>
      <c r="E9" s="14"/>
      <c r="F9" s="14"/>
      <c r="G9" s="14"/>
      <c r="H9" s="13">
        <f t="shared" si="1"/>
        <v>0</v>
      </c>
      <c r="I9" s="15"/>
    </row>
    <row r="10">
      <c r="A10" s="13">
        <v>5.0</v>
      </c>
      <c r="B10" s="13"/>
      <c r="C10" s="14"/>
      <c r="D10" s="14"/>
      <c r="E10" s="14"/>
      <c r="F10" s="14"/>
      <c r="G10" s="14"/>
      <c r="H10" s="13">
        <f t="shared" si="1"/>
        <v>0</v>
      </c>
      <c r="I10" s="15"/>
    </row>
    <row r="11">
      <c r="A11" s="13">
        <v>6.0</v>
      </c>
      <c r="B11" s="13"/>
      <c r="C11" s="14"/>
      <c r="D11" s="14"/>
      <c r="E11" s="14"/>
      <c r="F11" s="14"/>
      <c r="G11" s="14"/>
      <c r="H11" s="13">
        <f t="shared" si="1"/>
        <v>0</v>
      </c>
      <c r="I11" s="15"/>
    </row>
    <row r="12">
      <c r="A12" s="13">
        <v>7.0</v>
      </c>
      <c r="B12" s="13"/>
      <c r="C12" s="14"/>
      <c r="D12" s="14"/>
      <c r="E12" s="14"/>
      <c r="F12" s="14"/>
      <c r="G12" s="14"/>
      <c r="H12" s="13">
        <f t="shared" si="1"/>
        <v>0</v>
      </c>
      <c r="I12" s="15"/>
    </row>
    <row r="13">
      <c r="A13" s="13">
        <v>8.0</v>
      </c>
      <c r="B13" s="13"/>
      <c r="C13" s="14"/>
      <c r="D13" s="14"/>
      <c r="E13" s="14"/>
      <c r="F13" s="14"/>
      <c r="G13" s="14"/>
      <c r="H13" s="13">
        <f t="shared" si="1"/>
        <v>0</v>
      </c>
      <c r="I13" s="15"/>
    </row>
    <row r="14">
      <c r="A14" s="13">
        <v>9.0</v>
      </c>
      <c r="B14" s="13"/>
      <c r="C14" s="14"/>
      <c r="D14" s="14"/>
      <c r="E14" s="14"/>
      <c r="F14" s="14"/>
      <c r="G14" s="14"/>
      <c r="H14" s="13">
        <f t="shared" si="1"/>
        <v>0</v>
      </c>
      <c r="I14" s="15"/>
    </row>
    <row r="15">
      <c r="A15" s="13">
        <v>10.0</v>
      </c>
      <c r="B15" s="13"/>
      <c r="C15" s="14"/>
      <c r="D15" s="14"/>
      <c r="E15" s="14"/>
      <c r="F15" s="14"/>
      <c r="G15" s="14"/>
      <c r="H15" s="13">
        <f t="shared" si="1"/>
        <v>0</v>
      </c>
      <c r="I15" s="15"/>
    </row>
    <row r="16">
      <c r="A16" s="13">
        <v>11.0</v>
      </c>
      <c r="B16" s="13"/>
      <c r="C16" s="14"/>
      <c r="D16" s="14"/>
      <c r="E16" s="14"/>
      <c r="F16" s="14"/>
      <c r="G16" s="14"/>
      <c r="H16" s="13">
        <f t="shared" si="1"/>
        <v>0</v>
      </c>
      <c r="I16" s="15"/>
    </row>
    <row r="17">
      <c r="A17" s="13">
        <v>12.0</v>
      </c>
      <c r="B17" s="13"/>
      <c r="C17" s="14"/>
      <c r="D17" s="14"/>
      <c r="E17" s="14"/>
      <c r="F17" s="14"/>
      <c r="G17" s="14"/>
      <c r="H17" s="13">
        <f t="shared" si="1"/>
        <v>0</v>
      </c>
      <c r="I17" s="15"/>
    </row>
    <row r="18">
      <c r="A18" s="13">
        <v>13.0</v>
      </c>
      <c r="B18" s="13"/>
      <c r="C18" s="14"/>
      <c r="D18" s="14"/>
      <c r="E18" s="14"/>
      <c r="F18" s="14"/>
      <c r="G18" s="14"/>
      <c r="H18" s="13">
        <f t="shared" si="1"/>
        <v>0</v>
      </c>
      <c r="I18" s="15"/>
    </row>
    <row r="19">
      <c r="A19" s="13">
        <v>14.0</v>
      </c>
      <c r="B19" s="13"/>
      <c r="C19" s="14"/>
      <c r="D19" s="14"/>
      <c r="E19" s="14"/>
      <c r="F19" s="14"/>
      <c r="G19" s="14"/>
      <c r="H19" s="13">
        <f t="shared" si="1"/>
        <v>0</v>
      </c>
      <c r="I19" s="15"/>
    </row>
    <row r="20">
      <c r="A20" s="13">
        <v>15.0</v>
      </c>
      <c r="B20" s="13"/>
      <c r="C20" s="14"/>
      <c r="D20" s="14"/>
      <c r="E20" s="14"/>
      <c r="F20" s="14"/>
      <c r="G20" s="14"/>
      <c r="H20" s="13">
        <f t="shared" si="1"/>
        <v>0</v>
      </c>
      <c r="I20" s="15"/>
    </row>
    <row r="21" ht="15.75" customHeight="1">
      <c r="A21" s="13">
        <v>16.0</v>
      </c>
      <c r="B21" s="13"/>
      <c r="C21" s="14"/>
      <c r="D21" s="14"/>
      <c r="E21" s="14"/>
      <c r="F21" s="14"/>
      <c r="G21" s="14"/>
      <c r="H21" s="13">
        <f t="shared" si="1"/>
        <v>0</v>
      </c>
      <c r="I21" s="15"/>
    </row>
    <row r="22" ht="15.75" customHeight="1">
      <c r="A22" s="13">
        <v>17.0</v>
      </c>
      <c r="B22" s="13"/>
      <c r="C22" s="14"/>
      <c r="D22" s="14"/>
      <c r="E22" s="14"/>
      <c r="F22" s="14"/>
      <c r="G22" s="14"/>
      <c r="H22" s="13">
        <f t="shared" si="1"/>
        <v>0</v>
      </c>
      <c r="I22" s="15"/>
    </row>
    <row r="23" ht="15.75" customHeight="1">
      <c r="A23" s="13">
        <v>18.0</v>
      </c>
      <c r="B23" s="13"/>
      <c r="C23" s="14"/>
      <c r="D23" s="14"/>
      <c r="E23" s="14"/>
      <c r="F23" s="14"/>
      <c r="G23" s="14"/>
      <c r="H23" s="13">
        <f t="shared" si="1"/>
        <v>0</v>
      </c>
      <c r="I23" s="15"/>
    </row>
    <row r="24" ht="15.75" customHeight="1">
      <c r="A24" s="13">
        <v>19.0</v>
      </c>
      <c r="B24" s="13"/>
      <c r="C24" s="14"/>
      <c r="D24" s="14"/>
      <c r="E24" s="14"/>
      <c r="F24" s="14"/>
      <c r="G24" s="14"/>
      <c r="H24" s="13">
        <f t="shared" si="1"/>
        <v>0</v>
      </c>
      <c r="I24" s="15"/>
    </row>
    <row r="25" ht="15.75" customHeight="1">
      <c r="A25" s="13">
        <v>20.0</v>
      </c>
      <c r="B25" s="13"/>
      <c r="C25" s="14"/>
      <c r="D25" s="14"/>
      <c r="E25" s="14"/>
      <c r="F25" s="14"/>
      <c r="G25" s="14"/>
      <c r="H25" s="13">
        <f t="shared" si="1"/>
        <v>0</v>
      </c>
      <c r="I25" s="1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dataValidations>
    <dataValidation type="list" allowBlank="1" sqref="C5:G25">
      <formula1>"Pass,Fail,N/A"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80.86"/>
    <col customWidth="1" min="3" max="8" width="7.0"/>
    <col customWidth="1" min="9" max="9" width="40.0"/>
    <col customWidth="1" min="10" max="26" width="8.71"/>
  </cols>
  <sheetData>
    <row r="1">
      <c r="A1" s="1" t="s">
        <v>78</v>
      </c>
    </row>
    <row r="2">
      <c r="A2" s="16" t="s">
        <v>173</v>
      </c>
    </row>
    <row r="4">
      <c r="A4" s="4" t="s">
        <v>9</v>
      </c>
      <c r="B4" s="4" t="s">
        <v>15</v>
      </c>
      <c r="C4" s="4" t="s">
        <v>77</v>
      </c>
      <c r="D4" s="4" t="s">
        <v>80</v>
      </c>
      <c r="E4" s="4" t="s">
        <v>82</v>
      </c>
      <c r="F4" s="4" t="s">
        <v>84</v>
      </c>
      <c r="G4" s="4" t="s">
        <v>86</v>
      </c>
      <c r="H4" s="4" t="s">
        <v>30</v>
      </c>
      <c r="I4" s="4" t="s">
        <v>32</v>
      </c>
    </row>
    <row r="5">
      <c r="A5" s="10" t="s">
        <v>39</v>
      </c>
      <c r="B5" s="11" t="s">
        <v>52</v>
      </c>
      <c r="C5" s="12" t="s">
        <v>59</v>
      </c>
      <c r="D5" s="12" t="s">
        <v>59</v>
      </c>
      <c r="E5" s="12" t="s">
        <v>59</v>
      </c>
      <c r="F5" s="12" t="s">
        <v>59</v>
      </c>
      <c r="G5" s="12" t="s">
        <v>59</v>
      </c>
      <c r="H5" s="10">
        <f t="shared" ref="H5:H25" si="1">COUNTIF(C5:G5,"Fail")</f>
        <v>0</v>
      </c>
      <c r="I5" s="11" t="s">
        <v>172</v>
      </c>
    </row>
    <row r="6">
      <c r="A6" s="13">
        <v>1.0</v>
      </c>
      <c r="B6" s="13"/>
      <c r="C6" s="14"/>
      <c r="D6" s="14"/>
      <c r="E6" s="14"/>
      <c r="F6" s="14"/>
      <c r="G6" s="14"/>
      <c r="H6" s="13">
        <f t="shared" si="1"/>
        <v>0</v>
      </c>
      <c r="I6" s="15"/>
    </row>
    <row r="7">
      <c r="A7" s="13">
        <v>2.0</v>
      </c>
      <c r="B7" s="13"/>
      <c r="C7" s="14"/>
      <c r="D7" s="14"/>
      <c r="E7" s="14"/>
      <c r="F7" s="14"/>
      <c r="G7" s="14"/>
      <c r="H7" s="13">
        <f t="shared" si="1"/>
        <v>0</v>
      </c>
      <c r="I7" s="15"/>
    </row>
    <row r="8">
      <c r="A8" s="13">
        <v>3.0</v>
      </c>
      <c r="B8" s="13"/>
      <c r="C8" s="14"/>
      <c r="D8" s="14"/>
      <c r="E8" s="14"/>
      <c r="F8" s="14"/>
      <c r="G8" s="14"/>
      <c r="H8" s="13">
        <f t="shared" si="1"/>
        <v>0</v>
      </c>
      <c r="I8" s="15"/>
    </row>
    <row r="9">
      <c r="A9" s="13">
        <v>4.0</v>
      </c>
      <c r="B9" s="13"/>
      <c r="C9" s="14"/>
      <c r="D9" s="14"/>
      <c r="E9" s="14"/>
      <c r="F9" s="14"/>
      <c r="G9" s="14"/>
      <c r="H9" s="13">
        <f t="shared" si="1"/>
        <v>0</v>
      </c>
      <c r="I9" s="15"/>
    </row>
    <row r="10">
      <c r="A10" s="13">
        <v>5.0</v>
      </c>
      <c r="B10" s="13"/>
      <c r="C10" s="14"/>
      <c r="D10" s="14"/>
      <c r="E10" s="14"/>
      <c r="F10" s="14"/>
      <c r="G10" s="14"/>
      <c r="H10" s="13">
        <f t="shared" si="1"/>
        <v>0</v>
      </c>
      <c r="I10" s="15"/>
    </row>
    <row r="11">
      <c r="A11" s="13">
        <v>6.0</v>
      </c>
      <c r="B11" s="13"/>
      <c r="C11" s="14"/>
      <c r="D11" s="14"/>
      <c r="E11" s="14"/>
      <c r="F11" s="14"/>
      <c r="G11" s="14"/>
      <c r="H11" s="13">
        <f t="shared" si="1"/>
        <v>0</v>
      </c>
      <c r="I11" s="15"/>
    </row>
    <row r="12">
      <c r="A12" s="13">
        <v>7.0</v>
      </c>
      <c r="B12" s="13"/>
      <c r="C12" s="14"/>
      <c r="D12" s="14"/>
      <c r="E12" s="14"/>
      <c r="F12" s="14"/>
      <c r="G12" s="14"/>
      <c r="H12" s="13">
        <f t="shared" si="1"/>
        <v>0</v>
      </c>
      <c r="I12" s="15"/>
    </row>
    <row r="13">
      <c r="A13" s="13">
        <v>8.0</v>
      </c>
      <c r="B13" s="13"/>
      <c r="C13" s="14"/>
      <c r="D13" s="14"/>
      <c r="E13" s="14"/>
      <c r="F13" s="14"/>
      <c r="G13" s="14"/>
      <c r="H13" s="13">
        <f t="shared" si="1"/>
        <v>0</v>
      </c>
      <c r="I13" s="15"/>
    </row>
    <row r="14">
      <c r="A14" s="13">
        <v>9.0</v>
      </c>
      <c r="B14" s="13"/>
      <c r="C14" s="14"/>
      <c r="D14" s="14"/>
      <c r="E14" s="14"/>
      <c r="F14" s="14"/>
      <c r="G14" s="14"/>
      <c r="H14" s="13">
        <f t="shared" si="1"/>
        <v>0</v>
      </c>
      <c r="I14" s="15"/>
    </row>
    <row r="15">
      <c r="A15" s="13">
        <v>10.0</v>
      </c>
      <c r="B15" s="13"/>
      <c r="C15" s="14"/>
      <c r="D15" s="14"/>
      <c r="E15" s="14"/>
      <c r="F15" s="14"/>
      <c r="G15" s="14"/>
      <c r="H15" s="13">
        <f t="shared" si="1"/>
        <v>0</v>
      </c>
      <c r="I15" s="15"/>
    </row>
    <row r="16">
      <c r="A16" s="13">
        <v>11.0</v>
      </c>
      <c r="B16" s="13"/>
      <c r="C16" s="14"/>
      <c r="D16" s="14"/>
      <c r="E16" s="14"/>
      <c r="F16" s="14"/>
      <c r="G16" s="14"/>
      <c r="H16" s="13">
        <f t="shared" si="1"/>
        <v>0</v>
      </c>
      <c r="I16" s="15"/>
    </row>
    <row r="17">
      <c r="A17" s="13">
        <v>12.0</v>
      </c>
      <c r="B17" s="13"/>
      <c r="C17" s="14"/>
      <c r="D17" s="14"/>
      <c r="E17" s="14"/>
      <c r="F17" s="14"/>
      <c r="G17" s="14"/>
      <c r="H17" s="13">
        <f t="shared" si="1"/>
        <v>0</v>
      </c>
      <c r="I17" s="15"/>
    </row>
    <row r="18">
      <c r="A18" s="13">
        <v>13.0</v>
      </c>
      <c r="B18" s="13"/>
      <c r="C18" s="14"/>
      <c r="D18" s="14"/>
      <c r="E18" s="14"/>
      <c r="F18" s="14"/>
      <c r="G18" s="14"/>
      <c r="H18" s="13">
        <f t="shared" si="1"/>
        <v>0</v>
      </c>
      <c r="I18" s="15"/>
    </row>
    <row r="19">
      <c r="A19" s="13">
        <v>14.0</v>
      </c>
      <c r="B19" s="13"/>
      <c r="C19" s="14"/>
      <c r="D19" s="14"/>
      <c r="E19" s="14"/>
      <c r="F19" s="14"/>
      <c r="G19" s="14"/>
      <c r="H19" s="13">
        <f t="shared" si="1"/>
        <v>0</v>
      </c>
      <c r="I19" s="15"/>
    </row>
    <row r="20">
      <c r="A20" s="13">
        <v>15.0</v>
      </c>
      <c r="B20" s="13"/>
      <c r="C20" s="14"/>
      <c r="D20" s="14"/>
      <c r="E20" s="14"/>
      <c r="F20" s="14"/>
      <c r="G20" s="14"/>
      <c r="H20" s="13">
        <f t="shared" si="1"/>
        <v>0</v>
      </c>
      <c r="I20" s="15"/>
    </row>
    <row r="21" ht="15.75" customHeight="1">
      <c r="A21" s="13">
        <v>16.0</v>
      </c>
      <c r="B21" s="13"/>
      <c r="C21" s="14"/>
      <c r="D21" s="14"/>
      <c r="E21" s="14"/>
      <c r="F21" s="14"/>
      <c r="G21" s="14"/>
      <c r="H21" s="13">
        <f t="shared" si="1"/>
        <v>0</v>
      </c>
      <c r="I21" s="15"/>
    </row>
    <row r="22" ht="15.75" customHeight="1">
      <c r="A22" s="13">
        <v>17.0</v>
      </c>
      <c r="B22" s="13"/>
      <c r="C22" s="14"/>
      <c r="D22" s="14"/>
      <c r="E22" s="14"/>
      <c r="F22" s="14"/>
      <c r="G22" s="14"/>
      <c r="H22" s="13">
        <f t="shared" si="1"/>
        <v>0</v>
      </c>
      <c r="I22" s="15"/>
    </row>
    <row r="23" ht="15.75" customHeight="1">
      <c r="A23" s="13">
        <v>18.0</v>
      </c>
      <c r="B23" s="13"/>
      <c r="C23" s="14"/>
      <c r="D23" s="14"/>
      <c r="E23" s="14"/>
      <c r="F23" s="14"/>
      <c r="G23" s="14"/>
      <c r="H23" s="13">
        <f t="shared" si="1"/>
        <v>0</v>
      </c>
      <c r="I23" s="15"/>
    </row>
    <row r="24" ht="15.75" customHeight="1">
      <c r="A24" s="13">
        <v>19.0</v>
      </c>
      <c r="B24" s="13"/>
      <c r="C24" s="14"/>
      <c r="D24" s="14"/>
      <c r="E24" s="14"/>
      <c r="F24" s="14"/>
      <c r="G24" s="14"/>
      <c r="H24" s="13">
        <f t="shared" si="1"/>
        <v>0</v>
      </c>
      <c r="I24" s="15"/>
    </row>
    <row r="25" ht="15.75" customHeight="1">
      <c r="A25" s="13">
        <v>20.0</v>
      </c>
      <c r="B25" s="13"/>
      <c r="C25" s="14"/>
      <c r="D25" s="14"/>
      <c r="E25" s="14"/>
      <c r="F25" s="14"/>
      <c r="G25" s="14"/>
      <c r="H25" s="13">
        <f t="shared" si="1"/>
        <v>0</v>
      </c>
      <c r="I25" s="1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dataValidations>
    <dataValidation type="list" allowBlank="1" sqref="C5:G25">
      <formula1>"Pass,Fail,N/A"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71.86"/>
    <col customWidth="1" min="3" max="9" width="7.0"/>
    <col customWidth="1" min="10" max="10" width="40.0"/>
    <col customWidth="1" min="11" max="26" width="8.71"/>
  </cols>
  <sheetData>
    <row r="1">
      <c r="A1" s="1" t="s">
        <v>34</v>
      </c>
    </row>
    <row r="2">
      <c r="A2" s="2" t="s">
        <v>174</v>
      </c>
    </row>
    <row r="4">
      <c r="A4" s="4" t="s">
        <v>9</v>
      </c>
      <c r="B4" s="4" t="s">
        <v>175</v>
      </c>
      <c r="C4" s="4" t="s">
        <v>101</v>
      </c>
      <c r="D4" s="4" t="s">
        <v>103</v>
      </c>
      <c r="E4" s="4" t="s">
        <v>105</v>
      </c>
      <c r="F4" s="4" t="s">
        <v>107</v>
      </c>
      <c r="G4" s="4" t="s">
        <v>109</v>
      </c>
      <c r="H4" s="4" t="s">
        <v>111</v>
      </c>
      <c r="I4" s="4" t="s">
        <v>30</v>
      </c>
      <c r="J4" s="4" t="s">
        <v>32</v>
      </c>
    </row>
    <row r="5">
      <c r="A5" s="10" t="s">
        <v>39</v>
      </c>
      <c r="B5" s="11" t="s">
        <v>176</v>
      </c>
      <c r="C5" s="12" t="s">
        <v>59</v>
      </c>
      <c r="D5" s="12" t="s">
        <v>59</v>
      </c>
      <c r="E5" s="12" t="s">
        <v>59</v>
      </c>
      <c r="F5" s="12" t="s">
        <v>63</v>
      </c>
      <c r="G5" s="12" t="s">
        <v>59</v>
      </c>
      <c r="H5" s="12" t="s">
        <v>59</v>
      </c>
      <c r="I5" s="10">
        <f t="shared" ref="I5:I25" si="1">COUNTIF(C5:H5,"Fail")</f>
        <v>1</v>
      </c>
      <c r="J5" s="11" t="s">
        <v>178</v>
      </c>
    </row>
    <row r="6">
      <c r="A6" s="13">
        <v>1.0</v>
      </c>
      <c r="B6" s="13"/>
      <c r="C6" s="14"/>
      <c r="D6" s="14"/>
      <c r="E6" s="14"/>
      <c r="F6" s="14"/>
      <c r="G6" s="14"/>
      <c r="H6" s="14"/>
      <c r="I6" s="13">
        <f t="shared" si="1"/>
        <v>0</v>
      </c>
      <c r="J6" s="15"/>
    </row>
    <row r="7">
      <c r="A7" s="13">
        <v>2.0</v>
      </c>
      <c r="B7" s="13"/>
      <c r="C7" s="14"/>
      <c r="D7" s="14"/>
      <c r="E7" s="14"/>
      <c r="F7" s="14"/>
      <c r="G7" s="14"/>
      <c r="H7" s="14"/>
      <c r="I7" s="13">
        <f t="shared" si="1"/>
        <v>0</v>
      </c>
      <c r="J7" s="15"/>
    </row>
    <row r="8">
      <c r="A8" s="13">
        <v>3.0</v>
      </c>
      <c r="B8" s="13"/>
      <c r="C8" s="14"/>
      <c r="D8" s="14"/>
      <c r="E8" s="14"/>
      <c r="F8" s="14"/>
      <c r="G8" s="14"/>
      <c r="H8" s="14"/>
      <c r="I8" s="13">
        <f t="shared" si="1"/>
        <v>0</v>
      </c>
      <c r="J8" s="15"/>
    </row>
    <row r="9">
      <c r="A9" s="13">
        <v>4.0</v>
      </c>
      <c r="B9" s="13"/>
      <c r="C9" s="14"/>
      <c r="D9" s="14"/>
      <c r="E9" s="14"/>
      <c r="F9" s="14"/>
      <c r="G9" s="14"/>
      <c r="H9" s="14"/>
      <c r="I9" s="13">
        <f t="shared" si="1"/>
        <v>0</v>
      </c>
      <c r="J9" s="15"/>
    </row>
    <row r="10">
      <c r="A10" s="13">
        <v>5.0</v>
      </c>
      <c r="B10" s="13"/>
      <c r="C10" s="14"/>
      <c r="D10" s="14"/>
      <c r="E10" s="14"/>
      <c r="F10" s="14"/>
      <c r="G10" s="14"/>
      <c r="H10" s="14"/>
      <c r="I10" s="13">
        <f t="shared" si="1"/>
        <v>0</v>
      </c>
      <c r="J10" s="15"/>
    </row>
    <row r="11">
      <c r="A11" s="13">
        <v>6.0</v>
      </c>
      <c r="B11" s="13"/>
      <c r="C11" s="14"/>
      <c r="D11" s="14"/>
      <c r="E11" s="14"/>
      <c r="F11" s="14"/>
      <c r="G11" s="14"/>
      <c r="H11" s="14"/>
      <c r="I11" s="13">
        <f t="shared" si="1"/>
        <v>0</v>
      </c>
      <c r="J11" s="15"/>
    </row>
    <row r="12">
      <c r="A12" s="13">
        <v>7.0</v>
      </c>
      <c r="B12" s="13"/>
      <c r="C12" s="14"/>
      <c r="D12" s="14"/>
      <c r="E12" s="14"/>
      <c r="F12" s="14"/>
      <c r="G12" s="14"/>
      <c r="H12" s="14"/>
      <c r="I12" s="13">
        <f t="shared" si="1"/>
        <v>0</v>
      </c>
      <c r="J12" s="15"/>
    </row>
    <row r="13">
      <c r="A13" s="13">
        <v>8.0</v>
      </c>
      <c r="B13" s="13"/>
      <c r="C13" s="14"/>
      <c r="D13" s="14"/>
      <c r="E13" s="14"/>
      <c r="F13" s="14"/>
      <c r="G13" s="14"/>
      <c r="H13" s="14"/>
      <c r="I13" s="13">
        <f t="shared" si="1"/>
        <v>0</v>
      </c>
      <c r="J13" s="15"/>
    </row>
    <row r="14">
      <c r="A14" s="13">
        <v>9.0</v>
      </c>
      <c r="B14" s="13"/>
      <c r="C14" s="14"/>
      <c r="D14" s="14"/>
      <c r="E14" s="14"/>
      <c r="F14" s="14"/>
      <c r="G14" s="14"/>
      <c r="H14" s="14"/>
      <c r="I14" s="13">
        <f t="shared" si="1"/>
        <v>0</v>
      </c>
      <c r="J14" s="15"/>
    </row>
    <row r="15">
      <c r="A15" s="13">
        <v>10.0</v>
      </c>
      <c r="B15" s="13"/>
      <c r="C15" s="14"/>
      <c r="D15" s="14"/>
      <c r="E15" s="14"/>
      <c r="F15" s="14"/>
      <c r="G15" s="14"/>
      <c r="H15" s="14"/>
      <c r="I15" s="13">
        <f t="shared" si="1"/>
        <v>0</v>
      </c>
      <c r="J15" s="15"/>
    </row>
    <row r="16">
      <c r="A16" s="13">
        <v>11.0</v>
      </c>
      <c r="B16" s="13"/>
      <c r="C16" s="14"/>
      <c r="D16" s="14"/>
      <c r="E16" s="14"/>
      <c r="F16" s="14"/>
      <c r="G16" s="14"/>
      <c r="H16" s="14"/>
      <c r="I16" s="13">
        <f t="shared" si="1"/>
        <v>0</v>
      </c>
      <c r="J16" s="15"/>
    </row>
    <row r="17">
      <c r="A17" s="13">
        <v>12.0</v>
      </c>
      <c r="B17" s="13"/>
      <c r="C17" s="14"/>
      <c r="D17" s="14"/>
      <c r="E17" s="14"/>
      <c r="F17" s="14"/>
      <c r="G17" s="14"/>
      <c r="H17" s="14"/>
      <c r="I17" s="13">
        <f t="shared" si="1"/>
        <v>0</v>
      </c>
      <c r="J17" s="15"/>
    </row>
    <row r="18">
      <c r="A18" s="13">
        <v>13.0</v>
      </c>
      <c r="B18" s="13"/>
      <c r="C18" s="14"/>
      <c r="D18" s="14"/>
      <c r="E18" s="14"/>
      <c r="F18" s="14"/>
      <c r="G18" s="14"/>
      <c r="H18" s="14"/>
      <c r="I18" s="13">
        <f t="shared" si="1"/>
        <v>0</v>
      </c>
      <c r="J18" s="15"/>
    </row>
    <row r="19">
      <c r="A19" s="13">
        <v>14.0</v>
      </c>
      <c r="B19" s="13"/>
      <c r="C19" s="14"/>
      <c r="D19" s="14"/>
      <c r="E19" s="14"/>
      <c r="F19" s="14"/>
      <c r="G19" s="14"/>
      <c r="H19" s="14"/>
      <c r="I19" s="13">
        <f t="shared" si="1"/>
        <v>0</v>
      </c>
      <c r="J19" s="15"/>
    </row>
    <row r="20">
      <c r="A20" s="13">
        <v>15.0</v>
      </c>
      <c r="B20" s="13"/>
      <c r="C20" s="14"/>
      <c r="D20" s="14"/>
      <c r="E20" s="14"/>
      <c r="F20" s="14"/>
      <c r="G20" s="14"/>
      <c r="H20" s="14"/>
      <c r="I20" s="13">
        <f t="shared" si="1"/>
        <v>0</v>
      </c>
      <c r="J20" s="15"/>
    </row>
    <row r="21" ht="15.75" customHeight="1">
      <c r="A21" s="13">
        <v>16.0</v>
      </c>
      <c r="B21" s="13"/>
      <c r="C21" s="14"/>
      <c r="D21" s="14"/>
      <c r="E21" s="14"/>
      <c r="F21" s="14"/>
      <c r="G21" s="14"/>
      <c r="H21" s="14"/>
      <c r="I21" s="13">
        <f t="shared" si="1"/>
        <v>0</v>
      </c>
      <c r="J21" s="15"/>
    </row>
    <row r="22" ht="15.75" customHeight="1">
      <c r="A22" s="13">
        <v>17.0</v>
      </c>
      <c r="B22" s="13"/>
      <c r="C22" s="14"/>
      <c r="D22" s="14"/>
      <c r="E22" s="14"/>
      <c r="F22" s="14"/>
      <c r="G22" s="14"/>
      <c r="H22" s="14"/>
      <c r="I22" s="13">
        <f t="shared" si="1"/>
        <v>0</v>
      </c>
      <c r="J22" s="15"/>
    </row>
    <row r="23" ht="15.75" customHeight="1">
      <c r="A23" s="13">
        <v>18.0</v>
      </c>
      <c r="B23" s="13"/>
      <c r="C23" s="14"/>
      <c r="D23" s="14"/>
      <c r="E23" s="14"/>
      <c r="F23" s="14"/>
      <c r="G23" s="14"/>
      <c r="H23" s="14"/>
      <c r="I23" s="13">
        <f t="shared" si="1"/>
        <v>0</v>
      </c>
      <c r="J23" s="15"/>
    </row>
    <row r="24" ht="15.75" customHeight="1">
      <c r="A24" s="13">
        <v>19.0</v>
      </c>
      <c r="B24" s="13"/>
      <c r="C24" s="14"/>
      <c r="D24" s="14"/>
      <c r="E24" s="14"/>
      <c r="F24" s="14"/>
      <c r="G24" s="14"/>
      <c r="H24" s="14"/>
      <c r="I24" s="13">
        <f t="shared" si="1"/>
        <v>0</v>
      </c>
      <c r="J24" s="15"/>
    </row>
    <row r="25" ht="15.75" customHeight="1">
      <c r="A25" s="13">
        <v>20.0</v>
      </c>
      <c r="B25" s="13"/>
      <c r="C25" s="14"/>
      <c r="D25" s="14"/>
      <c r="E25" s="14"/>
      <c r="F25" s="14"/>
      <c r="G25" s="14"/>
      <c r="H25" s="14"/>
      <c r="I25" s="13">
        <f t="shared" si="1"/>
        <v>0</v>
      </c>
      <c r="J25" s="1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dataValidations>
    <dataValidation type="list" allowBlank="1" sqref="C5:H25">
      <formula1>"Pass,Fail,N/A"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8" width="7.0"/>
    <col customWidth="1" min="9" max="9" width="40.0"/>
    <col customWidth="1" min="10" max="26" width="8.71"/>
  </cols>
  <sheetData>
    <row r="1">
      <c r="A1" s="1" t="s">
        <v>90</v>
      </c>
    </row>
    <row r="2">
      <c r="A2" s="2" t="s">
        <v>177</v>
      </c>
    </row>
    <row r="4">
      <c r="A4" s="4" t="s">
        <v>9</v>
      </c>
      <c r="B4" s="4" t="s">
        <v>15</v>
      </c>
      <c r="C4" s="4" t="s">
        <v>89</v>
      </c>
      <c r="D4" s="4" t="s">
        <v>93</v>
      </c>
      <c r="E4" s="4" t="s">
        <v>95</v>
      </c>
      <c r="F4" s="4" t="s">
        <v>97</v>
      </c>
      <c r="G4" s="4" t="s">
        <v>99</v>
      </c>
      <c r="H4" s="4" t="s">
        <v>30</v>
      </c>
      <c r="I4" s="4" t="s">
        <v>32</v>
      </c>
    </row>
    <row r="5">
      <c r="A5" s="10" t="s">
        <v>39</v>
      </c>
      <c r="B5" s="11" t="s">
        <v>52</v>
      </c>
      <c r="C5" s="12" t="s">
        <v>59</v>
      </c>
      <c r="D5" s="12" t="s">
        <v>59</v>
      </c>
      <c r="E5" s="12" t="s">
        <v>59</v>
      </c>
      <c r="F5" s="12" t="s">
        <v>59</v>
      </c>
      <c r="G5" s="12" t="s">
        <v>59</v>
      </c>
      <c r="H5" s="10">
        <f t="shared" ref="H5:H25" si="1">COUNTIF(C5:G5,"Fail")</f>
        <v>0</v>
      </c>
      <c r="I5" s="11" t="s">
        <v>172</v>
      </c>
    </row>
    <row r="6">
      <c r="A6" s="13">
        <v>1.0</v>
      </c>
      <c r="B6" s="13"/>
      <c r="C6" s="14"/>
      <c r="D6" s="14"/>
      <c r="E6" s="14"/>
      <c r="F6" s="14"/>
      <c r="G6" s="14"/>
      <c r="H6" s="13">
        <f t="shared" si="1"/>
        <v>0</v>
      </c>
      <c r="I6" s="15"/>
    </row>
    <row r="7">
      <c r="A7" s="13">
        <v>2.0</v>
      </c>
      <c r="B7" s="13"/>
      <c r="C7" s="14"/>
      <c r="D7" s="14"/>
      <c r="E7" s="14"/>
      <c r="F7" s="14"/>
      <c r="G7" s="14"/>
      <c r="H7" s="13">
        <f t="shared" si="1"/>
        <v>0</v>
      </c>
      <c r="I7" s="15"/>
    </row>
    <row r="8">
      <c r="A8" s="13">
        <v>3.0</v>
      </c>
      <c r="B8" s="13"/>
      <c r="C8" s="14"/>
      <c r="D8" s="14"/>
      <c r="E8" s="14"/>
      <c r="F8" s="14"/>
      <c r="G8" s="14"/>
      <c r="H8" s="13">
        <f t="shared" si="1"/>
        <v>0</v>
      </c>
      <c r="I8" s="15"/>
    </row>
    <row r="9">
      <c r="A9" s="13">
        <v>4.0</v>
      </c>
      <c r="B9" s="13"/>
      <c r="C9" s="14"/>
      <c r="D9" s="14"/>
      <c r="E9" s="14"/>
      <c r="F9" s="14"/>
      <c r="G9" s="14"/>
      <c r="H9" s="13">
        <f t="shared" si="1"/>
        <v>0</v>
      </c>
      <c r="I9" s="15"/>
    </row>
    <row r="10">
      <c r="A10" s="13">
        <v>5.0</v>
      </c>
      <c r="B10" s="13"/>
      <c r="C10" s="14"/>
      <c r="D10" s="14"/>
      <c r="E10" s="14"/>
      <c r="F10" s="14"/>
      <c r="G10" s="14"/>
      <c r="H10" s="13">
        <f t="shared" si="1"/>
        <v>0</v>
      </c>
      <c r="I10" s="15"/>
    </row>
    <row r="11">
      <c r="A11" s="13">
        <v>6.0</v>
      </c>
      <c r="B11" s="13"/>
      <c r="C11" s="14"/>
      <c r="D11" s="14"/>
      <c r="E11" s="14"/>
      <c r="F11" s="14"/>
      <c r="G11" s="14"/>
      <c r="H11" s="13">
        <f t="shared" si="1"/>
        <v>0</v>
      </c>
      <c r="I11" s="15"/>
    </row>
    <row r="12">
      <c r="A12" s="13">
        <v>7.0</v>
      </c>
      <c r="B12" s="13"/>
      <c r="C12" s="14"/>
      <c r="D12" s="14"/>
      <c r="E12" s="14"/>
      <c r="F12" s="14"/>
      <c r="G12" s="14"/>
      <c r="H12" s="13">
        <f t="shared" si="1"/>
        <v>0</v>
      </c>
      <c r="I12" s="15"/>
    </row>
    <row r="13">
      <c r="A13" s="13">
        <v>8.0</v>
      </c>
      <c r="B13" s="13"/>
      <c r="C13" s="14"/>
      <c r="D13" s="14"/>
      <c r="E13" s="14"/>
      <c r="F13" s="14"/>
      <c r="G13" s="14"/>
      <c r="H13" s="13">
        <f t="shared" si="1"/>
        <v>0</v>
      </c>
      <c r="I13" s="15"/>
    </row>
    <row r="14">
      <c r="A14" s="13">
        <v>9.0</v>
      </c>
      <c r="B14" s="13"/>
      <c r="C14" s="14"/>
      <c r="D14" s="14"/>
      <c r="E14" s="14"/>
      <c r="F14" s="14"/>
      <c r="G14" s="14"/>
      <c r="H14" s="13">
        <f t="shared" si="1"/>
        <v>0</v>
      </c>
      <c r="I14" s="15"/>
    </row>
    <row r="15">
      <c r="A15" s="13">
        <v>10.0</v>
      </c>
      <c r="B15" s="13"/>
      <c r="C15" s="14"/>
      <c r="D15" s="14"/>
      <c r="E15" s="14"/>
      <c r="F15" s="14"/>
      <c r="G15" s="14"/>
      <c r="H15" s="13">
        <f t="shared" si="1"/>
        <v>0</v>
      </c>
      <c r="I15" s="15"/>
    </row>
    <row r="16">
      <c r="A16" s="13">
        <v>11.0</v>
      </c>
      <c r="B16" s="13"/>
      <c r="C16" s="14"/>
      <c r="D16" s="14"/>
      <c r="E16" s="14"/>
      <c r="F16" s="14"/>
      <c r="G16" s="14"/>
      <c r="H16" s="13">
        <f t="shared" si="1"/>
        <v>0</v>
      </c>
      <c r="I16" s="15"/>
    </row>
    <row r="17">
      <c r="A17" s="13">
        <v>12.0</v>
      </c>
      <c r="B17" s="13"/>
      <c r="C17" s="14"/>
      <c r="D17" s="14"/>
      <c r="E17" s="14"/>
      <c r="F17" s="14"/>
      <c r="G17" s="14"/>
      <c r="H17" s="13">
        <f t="shared" si="1"/>
        <v>0</v>
      </c>
      <c r="I17" s="15"/>
    </row>
    <row r="18">
      <c r="A18" s="13">
        <v>13.0</v>
      </c>
      <c r="B18" s="13"/>
      <c r="C18" s="14"/>
      <c r="D18" s="14"/>
      <c r="E18" s="14"/>
      <c r="F18" s="14"/>
      <c r="G18" s="14"/>
      <c r="H18" s="13">
        <f t="shared" si="1"/>
        <v>0</v>
      </c>
      <c r="I18" s="15"/>
    </row>
    <row r="19">
      <c r="A19" s="13">
        <v>14.0</v>
      </c>
      <c r="B19" s="13"/>
      <c r="C19" s="14"/>
      <c r="D19" s="14"/>
      <c r="E19" s="14"/>
      <c r="F19" s="14"/>
      <c r="G19" s="14"/>
      <c r="H19" s="13">
        <f t="shared" si="1"/>
        <v>0</v>
      </c>
      <c r="I19" s="15"/>
    </row>
    <row r="20">
      <c r="A20" s="13">
        <v>15.0</v>
      </c>
      <c r="B20" s="13"/>
      <c r="C20" s="14"/>
      <c r="D20" s="14"/>
      <c r="E20" s="14"/>
      <c r="F20" s="14"/>
      <c r="G20" s="14"/>
      <c r="H20" s="13">
        <f t="shared" si="1"/>
        <v>0</v>
      </c>
      <c r="I20" s="15"/>
    </row>
    <row r="21" ht="15.75" customHeight="1">
      <c r="A21" s="13">
        <v>16.0</v>
      </c>
      <c r="B21" s="13"/>
      <c r="C21" s="14"/>
      <c r="D21" s="14"/>
      <c r="E21" s="14"/>
      <c r="F21" s="14"/>
      <c r="G21" s="14"/>
      <c r="H21" s="13">
        <f t="shared" si="1"/>
        <v>0</v>
      </c>
      <c r="I21" s="15"/>
    </row>
    <row r="22" ht="15.75" customHeight="1">
      <c r="A22" s="13">
        <v>17.0</v>
      </c>
      <c r="B22" s="13"/>
      <c r="C22" s="14"/>
      <c r="D22" s="14"/>
      <c r="E22" s="14"/>
      <c r="F22" s="14"/>
      <c r="G22" s="14"/>
      <c r="H22" s="13">
        <f t="shared" si="1"/>
        <v>0</v>
      </c>
      <c r="I22" s="15"/>
    </row>
    <row r="23" ht="15.75" customHeight="1">
      <c r="A23" s="13">
        <v>18.0</v>
      </c>
      <c r="B23" s="13"/>
      <c r="C23" s="14"/>
      <c r="D23" s="14"/>
      <c r="E23" s="14"/>
      <c r="F23" s="14"/>
      <c r="G23" s="14"/>
      <c r="H23" s="13">
        <f t="shared" si="1"/>
        <v>0</v>
      </c>
      <c r="I23" s="15"/>
    </row>
    <row r="24" ht="15.75" customHeight="1">
      <c r="A24" s="13">
        <v>19.0</v>
      </c>
      <c r="B24" s="13"/>
      <c r="C24" s="14"/>
      <c r="D24" s="14"/>
      <c r="E24" s="14"/>
      <c r="F24" s="14"/>
      <c r="G24" s="14"/>
      <c r="H24" s="13">
        <f t="shared" si="1"/>
        <v>0</v>
      </c>
      <c r="I24" s="15"/>
    </row>
    <row r="25" ht="15.75" customHeight="1">
      <c r="A25" s="13">
        <v>20.0</v>
      </c>
      <c r="B25" s="13"/>
      <c r="C25" s="14"/>
      <c r="D25" s="14"/>
      <c r="E25" s="14"/>
      <c r="F25" s="14"/>
      <c r="G25" s="14"/>
      <c r="H25" s="13">
        <f t="shared" si="1"/>
        <v>0</v>
      </c>
      <c r="I25" s="1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dataValidations>
    <dataValidation type="list" allowBlank="1" sqref="C5:G25">
      <formula1>"Pass,Fail,N/A"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85.0"/>
    <col customWidth="1" min="4" max="4" width="10.0"/>
    <col customWidth="1" min="5" max="5" width="40.0"/>
    <col customWidth="1" min="6" max="26" width="8.71"/>
  </cols>
  <sheetData>
    <row r="1">
      <c r="A1" s="1" t="s">
        <v>179</v>
      </c>
    </row>
    <row r="2">
      <c r="A2" s="2" t="s">
        <v>180</v>
      </c>
    </row>
    <row r="4">
      <c r="A4" s="4" t="s">
        <v>8</v>
      </c>
      <c r="B4" s="4" t="s">
        <v>181</v>
      </c>
      <c r="C4" s="4" t="s">
        <v>17</v>
      </c>
      <c r="D4" s="4" t="s">
        <v>182</v>
      </c>
      <c r="E4" s="4" t="s">
        <v>32</v>
      </c>
    </row>
    <row r="5">
      <c r="A5" s="6" t="s">
        <v>121</v>
      </c>
      <c r="B5" s="6" t="s">
        <v>183</v>
      </c>
      <c r="C5" s="8" t="s">
        <v>184</v>
      </c>
      <c r="D5" s="13"/>
      <c r="E5" s="13"/>
    </row>
    <row r="6">
      <c r="A6" s="6" t="s">
        <v>124</v>
      </c>
      <c r="B6" s="6" t="s">
        <v>183</v>
      </c>
      <c r="C6" s="8" t="s">
        <v>185</v>
      </c>
      <c r="D6" s="13"/>
      <c r="E6" s="13"/>
    </row>
    <row r="7">
      <c r="A7" s="6" t="s">
        <v>126</v>
      </c>
      <c r="B7" s="6" t="s">
        <v>183</v>
      </c>
      <c r="C7" s="8" t="s">
        <v>186</v>
      </c>
      <c r="D7" s="13"/>
      <c r="E7" s="13"/>
    </row>
    <row r="8">
      <c r="A8" s="6" t="s">
        <v>128</v>
      </c>
      <c r="B8" s="6" t="s">
        <v>187</v>
      </c>
      <c r="C8" s="8" t="s">
        <v>188</v>
      </c>
      <c r="D8" s="13"/>
      <c r="E8" s="13"/>
    </row>
    <row r="9">
      <c r="A9" s="6" t="s">
        <v>130</v>
      </c>
      <c r="B9" s="6" t="s">
        <v>187</v>
      </c>
      <c r="C9" s="8" t="s">
        <v>189</v>
      </c>
      <c r="D9" s="13"/>
      <c r="E9" s="13"/>
    </row>
    <row r="10">
      <c r="A10" s="6" t="s">
        <v>132</v>
      </c>
      <c r="B10" s="6" t="s">
        <v>190</v>
      </c>
      <c r="C10" s="8" t="s">
        <v>191</v>
      </c>
      <c r="D10" s="13"/>
      <c r="E10" s="13"/>
    </row>
    <row r="11">
      <c r="A11" s="6" t="s">
        <v>134</v>
      </c>
      <c r="B11" s="6" t="s">
        <v>190</v>
      </c>
      <c r="C11" s="8" t="s">
        <v>192</v>
      </c>
      <c r="D11" s="13"/>
      <c r="E11" s="13"/>
    </row>
    <row r="12">
      <c r="A12" s="6" t="s">
        <v>136</v>
      </c>
      <c r="B12" s="6" t="s">
        <v>190</v>
      </c>
      <c r="C12" s="8" t="s">
        <v>193</v>
      </c>
      <c r="D12" s="13"/>
      <c r="E12" s="13"/>
    </row>
    <row r="13">
      <c r="A13" s="6" t="s">
        <v>138</v>
      </c>
      <c r="B13" s="6" t="s">
        <v>194</v>
      </c>
      <c r="C13" s="8" t="s">
        <v>195</v>
      </c>
      <c r="D13" s="13"/>
      <c r="E13" s="13"/>
    </row>
    <row r="14">
      <c r="A14" s="6" t="s">
        <v>140</v>
      </c>
      <c r="B14" s="6" t="s">
        <v>194</v>
      </c>
      <c r="C14" s="8" t="s">
        <v>196</v>
      </c>
      <c r="D14" s="13"/>
      <c r="E14" s="13"/>
    </row>
    <row r="15">
      <c r="A15" s="6" t="s">
        <v>142</v>
      </c>
      <c r="B15" s="6" t="s">
        <v>194</v>
      </c>
      <c r="C15" s="8" t="s">
        <v>197</v>
      </c>
      <c r="D15" s="13"/>
      <c r="E15" s="13"/>
    </row>
    <row r="16">
      <c r="A16" s="6" t="s">
        <v>144</v>
      </c>
      <c r="B16" s="6" t="s">
        <v>198</v>
      </c>
      <c r="C16" s="8" t="s">
        <v>199</v>
      </c>
      <c r="D16" s="13"/>
      <c r="E16" s="13"/>
    </row>
    <row r="17">
      <c r="A17" s="6" t="s">
        <v>146</v>
      </c>
      <c r="B17" s="6" t="s">
        <v>198</v>
      </c>
      <c r="C17" s="8" t="s">
        <v>200</v>
      </c>
      <c r="D17" s="13"/>
      <c r="E17" s="13"/>
    </row>
    <row r="18">
      <c r="A18" s="6" t="s">
        <v>148</v>
      </c>
      <c r="B18" s="6" t="s">
        <v>201</v>
      </c>
      <c r="C18" s="8" t="s">
        <v>202</v>
      </c>
      <c r="D18" s="13"/>
      <c r="E18" s="13"/>
    </row>
    <row r="19">
      <c r="A19" s="6" t="s">
        <v>150</v>
      </c>
      <c r="B19" s="6" t="s">
        <v>201</v>
      </c>
      <c r="C19" s="8" t="s">
        <v>203</v>
      </c>
      <c r="D19" s="13"/>
      <c r="E19" s="13"/>
    </row>
    <row r="20">
      <c r="A20" s="6" t="s">
        <v>152</v>
      </c>
      <c r="B20" s="6" t="s">
        <v>204</v>
      </c>
      <c r="C20" s="8" t="s">
        <v>205</v>
      </c>
      <c r="D20" s="13"/>
      <c r="E20" s="13"/>
    </row>
    <row r="21" ht="15.75" customHeight="1">
      <c r="A21" s="6" t="s">
        <v>154</v>
      </c>
      <c r="B21" s="6" t="s">
        <v>204</v>
      </c>
      <c r="C21" s="8" t="s">
        <v>206</v>
      </c>
      <c r="D21" s="13"/>
      <c r="E21" s="13"/>
    </row>
    <row r="22" ht="15.75" customHeight="1">
      <c r="A22" s="6" t="s">
        <v>156</v>
      </c>
      <c r="B22" s="6" t="s">
        <v>204</v>
      </c>
      <c r="C22" s="8" t="s">
        <v>207</v>
      </c>
      <c r="D22" s="13"/>
      <c r="E22" s="13"/>
    </row>
    <row r="23" ht="15.75" customHeight="1">
      <c r="A23" s="6" t="s">
        <v>158</v>
      </c>
      <c r="B23" s="6" t="s">
        <v>204</v>
      </c>
      <c r="C23" s="8" t="s">
        <v>208</v>
      </c>
      <c r="D23" s="13"/>
      <c r="E23" s="13"/>
    </row>
    <row r="24" ht="15.75" customHeight="1">
      <c r="A24" s="6" t="s">
        <v>160</v>
      </c>
      <c r="B24" s="6" t="s">
        <v>204</v>
      </c>
      <c r="C24" s="8" t="s">
        <v>209</v>
      </c>
      <c r="D24" s="13"/>
      <c r="E24" s="13"/>
    </row>
    <row r="25" ht="15.75" customHeight="1">
      <c r="A25" s="6" t="s">
        <v>162</v>
      </c>
      <c r="B25" s="6" t="s">
        <v>210</v>
      </c>
      <c r="C25" s="8" t="s">
        <v>211</v>
      </c>
      <c r="D25" s="13"/>
      <c r="E25" s="13"/>
    </row>
    <row r="26" ht="15.75" customHeight="1">
      <c r="A26" s="6" t="s">
        <v>164</v>
      </c>
      <c r="B26" s="6" t="s">
        <v>210</v>
      </c>
      <c r="C26" s="8" t="s">
        <v>212</v>
      </c>
      <c r="D26" s="13"/>
      <c r="E26" s="13"/>
    </row>
    <row r="27" ht="15.75" customHeight="1">
      <c r="A27" s="6" t="s">
        <v>166</v>
      </c>
      <c r="B27" s="6" t="s">
        <v>213</v>
      </c>
      <c r="C27" s="8" t="s">
        <v>214</v>
      </c>
      <c r="D27" s="13"/>
      <c r="E27" s="13"/>
    </row>
    <row r="28" ht="15.75" customHeight="1">
      <c r="A28" s="6" t="s">
        <v>168</v>
      </c>
      <c r="B28" s="6" t="s">
        <v>213</v>
      </c>
      <c r="C28" s="8" t="s">
        <v>215</v>
      </c>
      <c r="D28" s="13"/>
      <c r="E28" s="13"/>
    </row>
    <row r="29" ht="15.75" customHeight="1">
      <c r="A29" s="6" t="s">
        <v>170</v>
      </c>
      <c r="B29" s="6" t="s">
        <v>213</v>
      </c>
      <c r="C29" s="8" t="s">
        <v>216</v>
      </c>
      <c r="D29" s="13"/>
      <c r="E29" s="13"/>
    </row>
    <row r="30" ht="15.75" customHeight="1">
      <c r="A30" s="6" t="s">
        <v>113</v>
      </c>
      <c r="B30" s="6" t="s">
        <v>114</v>
      </c>
      <c r="C30" s="8" t="s">
        <v>116</v>
      </c>
      <c r="D30" s="13"/>
      <c r="E30" s="13"/>
    </row>
    <row r="31" ht="15.75" customHeight="1">
      <c r="A31" s="6" t="s">
        <v>117</v>
      </c>
      <c r="B31" s="6" t="s">
        <v>114</v>
      </c>
      <c r="C31" s="8" t="s">
        <v>118</v>
      </c>
      <c r="D31" s="13"/>
      <c r="E31" s="13"/>
    </row>
    <row r="32" ht="15.75" customHeight="1">
      <c r="A32" s="6" t="s">
        <v>119</v>
      </c>
      <c r="B32" s="6" t="s">
        <v>90</v>
      </c>
      <c r="C32" s="8" t="s">
        <v>120</v>
      </c>
      <c r="D32" s="13"/>
      <c r="E32" s="1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5:D32">
      <formula1>"Pass,Fail,N/A"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2026-09-29T04:35:02Z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